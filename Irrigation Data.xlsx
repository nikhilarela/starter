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232589fd1da9fa/Documents/Professional/Bernstein Research/Monsoon/"/>
    </mc:Choice>
  </mc:AlternateContent>
  <xr:revisionPtr revIDLastSave="342" documentId="8_{672644D5-3EAF-4831-822F-3FF390F0602C}" xr6:coauthVersionLast="47" xr6:coauthVersionMax="47" xr10:uidLastSave="{B23BCDC6-B43E-46FF-A8C0-14E3E72B82C5}"/>
  <bookViews>
    <workbookView xWindow="-120" yWindow="-120" windowWidth="29040" windowHeight="15720" xr2:uid="{6D97C38F-D427-4247-A296-E0AFE8435D9D}"/>
  </bookViews>
  <sheets>
    <sheet name="Area coverage" sheetId="1" r:id="rId1"/>
    <sheet name="Irrigation Are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8" i="1" l="1"/>
</calcChain>
</file>

<file path=xl/sharedStrings.xml><?xml version="1.0" encoding="utf-8"?>
<sst xmlns="http://schemas.openxmlformats.org/spreadsheetml/2006/main" count="195" uniqueCount="162">
  <si>
    <t>Watershed Development Component-Pradhan Mantri Krishi Sinchayee Yojana (WDC-PMKSY) 2.0</t>
  </si>
  <si>
    <t>Department of Land Resources, Ministry of Rural Development</t>
  </si>
  <si>
    <t>Report O6- State wise Distribution of Area According to Irrigation Status, Ownership Status, Land Classification and No of Crops as On Date</t>
  </si>
  <si>
    <t>All area in ha.</t>
  </si>
  <si>
    <t>S.No.</t>
  </si>
  <si>
    <t>State</t>
  </si>
  <si>
    <t>Total Project Area</t>
  </si>
  <si>
    <t>Plot Area</t>
  </si>
  <si>
    <t>Irrigation Status(Area)</t>
  </si>
  <si>
    <t>Ownership(Area)</t>
  </si>
  <si>
    <t>Classification of Land(Area)</t>
  </si>
  <si>
    <t>No. of Crops(Area)</t>
  </si>
  <si>
    <t>Protective Irrigation</t>
  </si>
  <si>
    <t>Assured Irrigation</t>
  </si>
  <si>
    <t>No Irrigation</t>
  </si>
  <si>
    <t>Private</t>
  </si>
  <si>
    <t>Government</t>
  </si>
  <si>
    <t>Community</t>
  </si>
  <si>
    <t>Others</t>
  </si>
  <si>
    <t>Cultural Wasteland</t>
  </si>
  <si>
    <t>Degraded Land</t>
  </si>
  <si>
    <t>Rainfed Land</t>
  </si>
  <si>
    <t>Forest Land</t>
  </si>
  <si>
    <t>No Crops</t>
  </si>
  <si>
    <t>Single Crops</t>
  </si>
  <si>
    <t>Double Crops</t>
  </si>
  <si>
    <t>Multiple Crops</t>
  </si>
  <si>
    <t>Plantation</t>
  </si>
  <si>
    <t>No Plantation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</si>
  <si>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</si>
  <si>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</si>
  <si>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</si>
  <si>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</si>
  <si>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</si>
  <si>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</si>
  <si>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</si>
  <si>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</si>
  <si>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</si>
  <si>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</si>
  <si>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</si>
  <si>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</si>
  <si>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</si>
  <si>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</si>
  <si>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</si>
  <si>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</si>
  <si>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</si>
  <si>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</si>
  <si>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</si>
  <si>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</si>
  <si>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</si>
  <si>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</si>
  <si>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</si>
  <si>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</si>
  <si>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</si>
  <si>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</si>
  <si>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</si>
  <si>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</si>
  <si>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</si>
  <si>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</si>
  <si>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</si>
  <si>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</si>
  <si>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23/06/2026 19:50:18</t>
  </si>
  <si>
    <t>Total</t>
  </si>
  <si>
    <t>Bihar</t>
  </si>
  <si>
    <t>Chhattisgarh</t>
  </si>
  <si>
    <t>Goa</t>
  </si>
  <si>
    <t>Gujarat</t>
  </si>
  <si>
    <t>Haryana</t>
  </si>
  <si>
    <t>Jharkhand</t>
  </si>
  <si>
    <t>Karnataka</t>
  </si>
  <si>
    <t>Kerala</t>
  </si>
  <si>
    <t>Maharashtra</t>
  </si>
  <si>
    <t>Odisha</t>
  </si>
  <si>
    <t>Punjab</t>
  </si>
  <si>
    <t>Rajasthan</t>
  </si>
  <si>
    <t>Telangana</t>
  </si>
  <si>
    <t>Uttarakhand</t>
  </si>
  <si>
    <t>Assam</t>
  </si>
  <si>
    <t>Manipur</t>
  </si>
  <si>
    <t>Meghalaya</t>
  </si>
  <si>
    <t>Mizoram</t>
  </si>
  <si>
    <t>Nagaland</t>
  </si>
  <si>
    <t>Sikkim</t>
  </si>
  <si>
    <t>Tripura</t>
  </si>
  <si>
    <t>Ladakh</t>
  </si>
  <si>
    <t>Andhra Pradesh</t>
  </si>
  <si>
    <t>Jammu &amp; Kashmir</t>
  </si>
  <si>
    <t>Himachal Pradesh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</si>
  <si>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</si>
  <si>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</si>
  <si>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</si>
  <si>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</si>
  <si>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</si>
  <si>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</si>
  <si>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</si>
  <si>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</si>
  <si>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</si>
  <si>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UttarPradesh</t>
  </si>
  <si>
    <t>Area_Covered_PDMC.pdf</t>
  </si>
  <si>
    <t>Madhya Pradesh</t>
  </si>
  <si>
    <t>Tamil Nadu</t>
  </si>
  <si>
    <t>Arunachal Pradesh</t>
  </si>
  <si>
    <t>West Bengal</t>
  </si>
  <si>
    <t>Year-wise area covered (2015-16 to 2023-24) under Micro Irrigation-PDMC Scheme - area in Ha</t>
  </si>
  <si>
    <t>Year</t>
  </si>
  <si>
    <t>NA</t>
  </si>
  <si>
    <t>How UP Beats Maharashtra, Gujarat In Agriculture Productivity</t>
  </si>
  <si>
    <t>States</t>
  </si>
  <si>
    <t>All India</t>
  </si>
  <si>
    <t>Area under cultivation (mn ha) and production (mn tonnes)</t>
  </si>
  <si>
    <t>Uttar Pradesh</t>
  </si>
  <si>
    <t>Orissa</t>
  </si>
  <si>
    <t>Other States</t>
  </si>
  <si>
    <t>Area under Cultivation</t>
  </si>
  <si>
    <t>Production</t>
  </si>
  <si>
    <t>Yield (tn/ha)</t>
  </si>
  <si>
    <t>Area under irrigation is % of total area under cultivation</t>
  </si>
  <si>
    <t>Area under Irrigation</t>
  </si>
  <si>
    <t>% of total production</t>
  </si>
  <si>
    <t>Productivity</t>
  </si>
  <si>
    <t>Production (mn tonnes) and productivity (tn/ha)</t>
  </si>
  <si>
    <t>FY2001</t>
  </si>
  <si>
    <t>FY2002</t>
  </si>
  <si>
    <t>FY2003</t>
  </si>
  <si>
    <t>FY2004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</si>
  <si>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</si>
  <si>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</si>
  <si>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</si>
  <si>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</si>
  <si>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</si>
  <si>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</si>
  <si>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</si>
  <si>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</si>
  <si>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</si>
  <si>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</si>
  <si>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</si>
  <si>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</si>
  <si>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</si>
  <si>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</si>
  <si>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</si>
  <si>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</si>
  <si>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</si>
  <si>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</si>
  <si>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</si>
  <si>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</si>
  <si>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</si>
  <si>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</si>
  <si>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Press Release:Press Information Bureau</t>
  </si>
  <si>
    <t>Area Covered under irrigation (lakh ha)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</si>
  <si>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</si>
  <si>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</si>
  <si>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</si>
  <si>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</si>
  <si>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</si>
  <si>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</si>
  <si>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</si>
  <si>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</si>
  <si>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</si>
  <si>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 till 20 Jan 2025</t>
  </si>
  <si>
    <t>LUS-2023-24-to-be-printed-Uploaded.pdf</t>
  </si>
  <si>
    <t>Area Under Irrigation</t>
  </si>
  <si>
    <t>% of Gross Irrigated area to total cropped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</si>
</sst>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8" formatCode="_ * #,##0.0_ ;_ * \-#,##0.0_ ;_ * &quot;-&quot;??_ ;_ @_ "/>
    <numFmt numFmtId="169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Calibri"/>
    </font>
    <font>
      <b/>
      <sz val="9"/>
      <color indexed="9"/>
      <name val="Calibri"/>
      <family val="2"/>
    </font>
    <font>
      <sz val="9"/>
      <color indexed="8"/>
      <name val="Aptos Narrow"/>
      <family val="2"/>
      <scheme val="minor"/>
    </font>
    <font>
      <sz val="9"/>
      <color indexed="8"/>
      <name val="Calibri"/>
      <family val="2"/>
    </font>
    <font>
      <b/>
      <sz val="9"/>
      <name val="Calibri"/>
      <family val="2"/>
    </font>
    <font>
      <i/>
      <sz val="8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9"/>
      <color theme="0"/>
      <name val="Calibri"/>
      <family val="2"/>
    </font>
    <font>
      <sz val="8"/>
      <name val="Aptos Narrow"/>
      <family val="2"/>
      <scheme val="minor"/>
    </font>
    <font>
      <i/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2" applyFont="1" applyAlignment="1">
      <alignment horizontal="center"/>
    </xf>
    <xf numFmtId="0" fontId="3" fillId="0" borderId="0" xfId="2"/>
    <xf numFmtId="0" fontId="3" fillId="0" borderId="0" xfId="2"/>
    <xf numFmtId="0" fontId="5" fillId="2" borderId="1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7" fillId="0" borderId="0" xfId="2" applyFont="1" applyAlignment="1">
      <alignment vertical="center"/>
    </xf>
    <xf numFmtId="169" fontId="7" fillId="0" borderId="0" xfId="1" applyNumberFormat="1" applyFont="1" applyAlignment="1">
      <alignment vertical="center"/>
    </xf>
    <xf numFmtId="169" fontId="8" fillId="5" borderId="2" xfId="1" applyNumberFormat="1" applyFont="1" applyFill="1" applyBorder="1" applyAlignment="1">
      <alignment vertical="center"/>
    </xf>
    <xf numFmtId="0" fontId="8" fillId="4" borderId="1" xfId="2" applyFont="1" applyFill="1" applyBorder="1" applyAlignment="1">
      <alignment horizontal="right" vertical="center"/>
    </xf>
    <xf numFmtId="0" fontId="8" fillId="5" borderId="2" xfId="2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3"/>
    <xf numFmtId="0" fontId="12" fillId="6" borderId="0" xfId="0" applyFont="1" applyFill="1" applyAlignment="1">
      <alignment horizontal="center" vertical="center"/>
    </xf>
    <xf numFmtId="169" fontId="11" fillId="7" borderId="0" xfId="1" applyNumberFormat="1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2" fillId="0" borderId="0" xfId="0" applyFont="1"/>
    <xf numFmtId="0" fontId="0" fillId="9" borderId="0" xfId="0" applyFill="1"/>
    <xf numFmtId="168" fontId="11" fillId="7" borderId="0" xfId="1" applyNumberFormat="1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6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Normal 2" xfId="2" xr:uid="{98B355AE-5164-4454-91F9-CF1F20946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ib.gov.in/PressReleaseIframePage.aspx?PRID=2097957&amp;reg=48&amp;lang=2" TargetMode="External"/><Relationship Id="rId2" Type="http://schemas.openxmlformats.org/officeDocument/2006/relationships/hyperlink" Target="https://www.indiaspend.com/how-up-beats-maharashtra-gujarat-in-agriculture-productivity" TargetMode="External"/><Relationship Id="rId1" Type="http://schemas.openxmlformats.org/officeDocument/2006/relationships/hyperlink" Target="https://agriwelfare.gov.in/sites/default/files/Area_Covered_PDMC.pdf" TargetMode="External"/><Relationship Id="rId5" Type="http://schemas.openxmlformats.org/officeDocument/2006/relationships/hyperlink" Target="https://desagri.gov.in/wp-content/uploads/2025/07/LUS-2023-24-to-be-printed-Uploaded.pdf" TargetMode="External"/><Relationship Id="rId4" Type="http://schemas.openxmlformats.org/officeDocument/2006/relationships/hyperlink" Target="https://desagri.gov.in/wp-content/uploads/2025/07/LUS-2023-24-to-be-printed-Uploaded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dcpmksy.dolr.gov.in/blsareaoutcomedtlr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C040-3AFB-4DF7-8913-04042695193A}">
  <dimension ref="A1:AC48"/>
  <sheetViews>
    <sheetView tabSelected="1" topLeftCell="I1" workbookViewId="0">
      <selection activeCell="AD24" sqref="AD24"/>
    </sheetView>
  </sheetViews>
  <sheetFormatPr defaultRowHeight="15" x14ac:dyDescent="0.25"/>
  <cols>
    <col min="1" max="1" width="6.7109375" customWidth="1"/>
    <col min="2" max="2" width="16.7109375" customWidth="1"/>
    <col min="3" max="12" width="9.7109375" customWidth="1"/>
    <col min="13" max="13" width="1.7109375" style="19" customWidth="1"/>
    <col min="14" max="18" width="9.7109375" customWidth="1"/>
    <col min="19" max="19" width="1.7109375" style="19" customWidth="1"/>
    <col min="20" max="20" width="12.7109375" customWidth="1"/>
    <col min="21" max="24" width="9.7109375" customWidth="1"/>
  </cols>
  <sheetData>
    <row r="1" spans="1:29" x14ac:dyDescent="0.25">
      <c r="A1" s="18" t="s">
        <v>103</v>
      </c>
      <c r="N1" s="18" t="s">
        <v>109</v>
      </c>
      <c r="T1" s="18" t="s">
        <v>120</v>
      </c>
      <c r="X1" t="s">
        <v>160</v>
      </c>
    </row>
    <row r="2" spans="1:29" ht="24" x14ac:dyDescent="0.25">
      <c r="A2" s="15" t="s">
        <v>4</v>
      </c>
      <c r="B2" s="15" t="s">
        <v>5</v>
      </c>
      <c r="C2" s="15" t="s">
        <v>88</v>
      </c>
      <c r="D2" s="15" t="s">
        <v>89</v>
      </c>
      <c r="E2" s="15" t="s">
        <v>90</v>
      </c>
      <c r="F2" s="15" t="s">
        <v>91</v>
      </c>
      <c r="G2" s="15" t="s">
        <v>92</v>
      </c>
      <c r="H2" s="15" t="s">
        <v>93</v>
      </c>
      <c r="I2" s="15" t="s">
        <v>94</v>
      </c>
      <c r="J2" s="15" t="s">
        <v>95</v>
      </c>
      <c r="K2" s="15" t="s">
        <v>96</v>
      </c>
      <c r="L2" s="15" t="s">
        <v>62</v>
      </c>
      <c r="N2" s="22" t="s">
        <v>104</v>
      </c>
      <c r="O2" s="22" t="s">
        <v>113</v>
      </c>
      <c r="P2" s="22" t="s">
        <v>114</v>
      </c>
      <c r="Q2" s="22" t="s">
        <v>115</v>
      </c>
      <c r="R2" s="22" t="s">
        <v>117</v>
      </c>
      <c r="T2" s="22" t="s">
        <v>107</v>
      </c>
      <c r="U2" s="22" t="s">
        <v>114</v>
      </c>
      <c r="V2" s="22" t="s">
        <v>118</v>
      </c>
      <c r="W2" s="22" t="s">
        <v>119</v>
      </c>
      <c r="X2" s="22" t="s">
        <v>129</v>
      </c>
      <c r="Y2" s="22" t="s">
        <v>135</v>
      </c>
      <c r="Z2" s="22" t="s">
        <v>138</v>
      </c>
      <c r="AA2" s="22" t="s">
        <v>141</v>
      </c>
      <c r="AB2" s="22" t="s">
        <v>144</v>
      </c>
      <c r="AC2" s="23" t="s">
        <v>161</v>
      </c>
    </row>
    <row r="3" spans="1:29" x14ac:dyDescent="0.25">
      <c r="A3" s="17">
        <v>1</v>
      </c>
      <c r="B3" s="17" t="s">
        <v>85</v>
      </c>
      <c r="C3" s="16">
        <v>94104</v>
      </c>
      <c r="D3" s="16">
        <v>141098</v>
      </c>
      <c r="E3" s="16">
        <v>186441</v>
      </c>
      <c r="F3" s="16">
        <v>200269</v>
      </c>
      <c r="G3" s="16">
        <v>122080</v>
      </c>
      <c r="H3" s="16"/>
      <c r="I3" s="16">
        <v>14654</v>
      </c>
      <c r="J3" s="16">
        <v>90775</v>
      </c>
      <c r="K3" s="16">
        <v>81970</v>
      </c>
      <c r="L3" s="16">
        <v>931391</v>
      </c>
      <c r="N3" s="17" t="s">
        <v>121</v>
      </c>
      <c r="O3" s="16">
        <v>121</v>
      </c>
      <c r="P3" s="16">
        <v>196</v>
      </c>
      <c r="Q3" s="20">
        <v>1.6</v>
      </c>
      <c r="R3" s="20">
        <v>43.4</v>
      </c>
      <c r="T3" s="17" t="s">
        <v>73</v>
      </c>
      <c r="U3" s="20">
        <v>27.3</v>
      </c>
      <c r="V3" s="20">
        <v>11.6</v>
      </c>
      <c r="W3" s="20">
        <v>4.2</v>
      </c>
      <c r="X3" s="20">
        <v>98.1</v>
      </c>
      <c r="Y3" s="20">
        <v>98.7</v>
      </c>
      <c r="Z3" s="20">
        <v>98.5</v>
      </c>
      <c r="AA3" s="20">
        <v>98.1</v>
      </c>
      <c r="AB3" s="20">
        <v>93.5</v>
      </c>
    </row>
    <row r="4" spans="1:29" x14ac:dyDescent="0.25">
      <c r="A4" s="17">
        <v>2</v>
      </c>
      <c r="B4" s="17" t="s">
        <v>63</v>
      </c>
      <c r="C4" s="16">
        <v>5155</v>
      </c>
      <c r="D4" s="16">
        <v>4228</v>
      </c>
      <c r="E4" s="16">
        <v>3143</v>
      </c>
      <c r="F4" s="16">
        <v>924</v>
      </c>
      <c r="G4" s="16">
        <v>3967</v>
      </c>
      <c r="H4" s="16">
        <v>1275</v>
      </c>
      <c r="I4" s="16">
        <v>2087</v>
      </c>
      <c r="J4" s="16">
        <v>4252</v>
      </c>
      <c r="K4" s="16">
        <v>5650</v>
      </c>
      <c r="L4" s="16">
        <v>30681</v>
      </c>
      <c r="N4" s="17" t="s">
        <v>122</v>
      </c>
      <c r="O4" s="16">
        <v>122</v>
      </c>
      <c r="P4" s="16">
        <v>212</v>
      </c>
      <c r="Q4" s="20">
        <v>1.7</v>
      </c>
      <c r="R4" s="20">
        <v>43</v>
      </c>
      <c r="T4" s="17" t="s">
        <v>67</v>
      </c>
      <c r="U4" s="20">
        <v>15.6</v>
      </c>
      <c r="V4" s="20">
        <v>6.6</v>
      </c>
      <c r="W4" s="20">
        <v>3.3</v>
      </c>
      <c r="X4" s="20">
        <v>87.6</v>
      </c>
      <c r="Y4" s="20">
        <v>89.1</v>
      </c>
      <c r="Z4" s="20">
        <v>91.5</v>
      </c>
      <c r="AA4" s="20">
        <v>99.1</v>
      </c>
      <c r="AB4" s="20">
        <v>91.9</v>
      </c>
    </row>
    <row r="5" spans="1:29" x14ac:dyDescent="0.25">
      <c r="A5" s="17">
        <v>3</v>
      </c>
      <c r="B5" s="17" t="s">
        <v>64</v>
      </c>
      <c r="C5" s="16">
        <v>8056</v>
      </c>
      <c r="D5" s="16">
        <v>19227</v>
      </c>
      <c r="E5" s="16">
        <v>13087</v>
      </c>
      <c r="F5" s="16">
        <v>18929</v>
      </c>
      <c r="G5" s="16">
        <v>27688</v>
      </c>
      <c r="H5" s="16">
        <v>18634</v>
      </c>
      <c r="I5" s="16">
        <v>18640</v>
      </c>
      <c r="J5" s="16">
        <v>23885</v>
      </c>
      <c r="K5" s="16">
        <v>0</v>
      </c>
      <c r="L5" s="16">
        <v>148146</v>
      </c>
      <c r="N5" s="17" t="s">
        <v>123</v>
      </c>
      <c r="O5" s="16">
        <v>113</v>
      </c>
      <c r="P5" s="16">
        <v>174</v>
      </c>
      <c r="Q5" s="20">
        <v>1.5</v>
      </c>
      <c r="R5" s="20">
        <v>42.8</v>
      </c>
      <c r="T5" s="17" t="s">
        <v>110</v>
      </c>
      <c r="U5" s="20">
        <v>46.7</v>
      </c>
      <c r="V5" s="20">
        <v>19.899999999999999</v>
      </c>
      <c r="W5" s="20">
        <v>2.2999999999999998</v>
      </c>
      <c r="X5" s="20">
        <v>75.900000000000006</v>
      </c>
      <c r="Y5" s="20">
        <v>80.2</v>
      </c>
      <c r="Z5" s="20">
        <v>80.400000000000006</v>
      </c>
      <c r="AA5" s="20">
        <v>84.8</v>
      </c>
      <c r="AB5" s="20">
        <v>82.8</v>
      </c>
    </row>
    <row r="6" spans="1:29" x14ac:dyDescent="0.25">
      <c r="A6" s="17">
        <v>4</v>
      </c>
      <c r="B6" s="17" t="s">
        <v>65</v>
      </c>
      <c r="C6" s="16">
        <v>92</v>
      </c>
      <c r="D6" s="16">
        <v>123</v>
      </c>
      <c r="E6" s="16">
        <v>236</v>
      </c>
      <c r="F6" s="16">
        <v>0</v>
      </c>
      <c r="G6" s="16">
        <v>285</v>
      </c>
      <c r="H6" s="16">
        <v>132</v>
      </c>
      <c r="I6" s="16">
        <v>0</v>
      </c>
      <c r="J6" s="16">
        <v>7</v>
      </c>
      <c r="K6" s="16">
        <v>0</v>
      </c>
      <c r="L6" s="16">
        <v>875</v>
      </c>
      <c r="N6" s="17" t="s">
        <v>124</v>
      </c>
      <c r="O6" s="16">
        <v>123</v>
      </c>
      <c r="P6" s="16">
        <v>213</v>
      </c>
      <c r="Q6" s="20">
        <v>1.7</v>
      </c>
      <c r="R6" s="20">
        <v>42.2</v>
      </c>
      <c r="T6" s="17" t="s">
        <v>85</v>
      </c>
      <c r="U6" s="20">
        <v>20.399999999999999</v>
      </c>
      <c r="V6" s="20">
        <v>8.6999999999999993</v>
      </c>
      <c r="W6" s="20">
        <v>2.7</v>
      </c>
      <c r="X6" s="20">
        <v>63.9</v>
      </c>
      <c r="Y6" s="20">
        <v>50.5</v>
      </c>
      <c r="Z6" s="20">
        <v>50.1</v>
      </c>
      <c r="AA6" s="20">
        <v>53.8</v>
      </c>
      <c r="AB6" s="20">
        <v>57</v>
      </c>
    </row>
    <row r="7" spans="1:29" x14ac:dyDescent="0.25">
      <c r="A7" s="17">
        <v>5</v>
      </c>
      <c r="B7" s="17" t="s">
        <v>66</v>
      </c>
      <c r="C7" s="16">
        <v>142681</v>
      </c>
      <c r="D7" s="16">
        <v>165948</v>
      </c>
      <c r="E7" s="16">
        <v>143134</v>
      </c>
      <c r="F7" s="16">
        <v>140778</v>
      </c>
      <c r="G7" s="16">
        <v>107649</v>
      </c>
      <c r="H7" s="16">
        <v>101329</v>
      </c>
      <c r="I7" s="16">
        <v>78790</v>
      </c>
      <c r="J7" s="16">
        <v>106109</v>
      </c>
      <c r="K7" s="16">
        <v>130505</v>
      </c>
      <c r="L7" s="16">
        <v>1116923</v>
      </c>
      <c r="N7" s="17" t="s">
        <v>125</v>
      </c>
      <c r="O7" s="16">
        <v>120</v>
      </c>
      <c r="P7" s="16">
        <v>198</v>
      </c>
      <c r="Q7" s="20">
        <v>1.6</v>
      </c>
      <c r="R7" s="20">
        <v>44.2</v>
      </c>
      <c r="T7" s="17" t="s">
        <v>63</v>
      </c>
      <c r="U7" s="20">
        <v>12.2</v>
      </c>
      <c r="V7" s="20">
        <v>5.2</v>
      </c>
      <c r="W7" s="20">
        <v>1.7</v>
      </c>
      <c r="X7" s="20">
        <v>63.4</v>
      </c>
      <c r="Y7" s="20">
        <v>68.7</v>
      </c>
      <c r="Z7" s="20">
        <v>71.900000000000006</v>
      </c>
      <c r="AA7" s="20">
        <v>75.599999999999994</v>
      </c>
      <c r="AB7" s="20">
        <v>80</v>
      </c>
    </row>
    <row r="8" spans="1:29" x14ac:dyDescent="0.25">
      <c r="A8" s="17">
        <v>6</v>
      </c>
      <c r="B8" s="17" t="s">
        <v>67</v>
      </c>
      <c r="C8" s="16">
        <v>3117</v>
      </c>
      <c r="D8" s="16">
        <v>5701</v>
      </c>
      <c r="E8" s="16">
        <v>10751</v>
      </c>
      <c r="F8" s="16">
        <v>10469</v>
      </c>
      <c r="G8" s="16">
        <v>22652</v>
      </c>
      <c r="H8" s="16">
        <v>12446</v>
      </c>
      <c r="I8" s="16">
        <v>43045</v>
      </c>
      <c r="J8" s="16">
        <v>36786</v>
      </c>
      <c r="K8" s="16">
        <v>33626</v>
      </c>
      <c r="L8" s="16">
        <v>178593</v>
      </c>
      <c r="N8" s="17" t="s">
        <v>126</v>
      </c>
      <c r="O8" s="16">
        <v>121</v>
      </c>
      <c r="P8" s="16">
        <v>208</v>
      </c>
      <c r="Q8" s="20">
        <v>1.7</v>
      </c>
      <c r="R8" s="20">
        <v>45.5</v>
      </c>
      <c r="T8" s="17" t="s">
        <v>100</v>
      </c>
      <c r="U8" s="20">
        <v>7.1</v>
      </c>
      <c r="V8" s="20">
        <v>3</v>
      </c>
      <c r="W8" s="20">
        <v>2.2000000000000002</v>
      </c>
      <c r="X8" s="20">
        <v>63.1</v>
      </c>
      <c r="Y8" s="20">
        <v>56.6</v>
      </c>
      <c r="Z8" s="20">
        <v>57.2</v>
      </c>
      <c r="AA8" s="20">
        <v>58.6</v>
      </c>
      <c r="AB8" s="20">
        <v>62.7</v>
      </c>
    </row>
    <row r="9" spans="1:29" x14ac:dyDescent="0.25">
      <c r="A9" s="17">
        <v>7</v>
      </c>
      <c r="B9" s="17" t="s">
        <v>87</v>
      </c>
      <c r="C9" s="16">
        <v>3306</v>
      </c>
      <c r="D9" s="16">
        <v>937</v>
      </c>
      <c r="E9" s="16">
        <v>1197</v>
      </c>
      <c r="F9" s="16">
        <v>422</v>
      </c>
      <c r="G9" s="16">
        <v>2573</v>
      </c>
      <c r="H9" s="16">
        <v>2051</v>
      </c>
      <c r="I9" s="16">
        <v>0</v>
      </c>
      <c r="J9" s="16">
        <v>406</v>
      </c>
      <c r="K9" s="16">
        <v>1343</v>
      </c>
      <c r="L9" s="16">
        <v>12235</v>
      </c>
      <c r="N9" s="17" t="s">
        <v>127</v>
      </c>
      <c r="O9" s="16">
        <v>123</v>
      </c>
      <c r="P9" s="16">
        <v>217</v>
      </c>
      <c r="Q9" s="20">
        <v>1.7</v>
      </c>
      <c r="R9" s="20">
        <v>46.3</v>
      </c>
      <c r="T9" s="17" t="s">
        <v>102</v>
      </c>
      <c r="U9" s="20">
        <v>16.3</v>
      </c>
      <c r="V9" s="20">
        <v>6.9</v>
      </c>
      <c r="W9" s="20">
        <v>2.4</v>
      </c>
      <c r="X9" s="20">
        <v>48.2</v>
      </c>
      <c r="Y9" s="20">
        <v>58.8</v>
      </c>
      <c r="Z9" s="20">
        <v>65.2</v>
      </c>
      <c r="AA9" s="20">
        <v>65.7</v>
      </c>
      <c r="AB9" s="20">
        <v>72.900000000000006</v>
      </c>
    </row>
    <row r="10" spans="1:29" x14ac:dyDescent="0.25">
      <c r="A10" s="17">
        <v>8</v>
      </c>
      <c r="B10" s="17" t="s">
        <v>68</v>
      </c>
      <c r="C10" s="16">
        <v>4528</v>
      </c>
      <c r="D10" s="16">
        <v>5810</v>
      </c>
      <c r="E10" s="16">
        <v>1544</v>
      </c>
      <c r="F10" s="16">
        <v>5978</v>
      </c>
      <c r="G10" s="16">
        <v>5989</v>
      </c>
      <c r="H10" s="16">
        <v>1909</v>
      </c>
      <c r="I10" s="16">
        <v>4868</v>
      </c>
      <c r="J10" s="16">
        <v>6049</v>
      </c>
      <c r="K10" s="16">
        <v>0</v>
      </c>
      <c r="L10" s="16">
        <v>34675</v>
      </c>
      <c r="N10" s="17" t="s">
        <v>128</v>
      </c>
      <c r="O10" s="16">
        <v>124</v>
      </c>
      <c r="P10" s="16">
        <v>230</v>
      </c>
      <c r="Q10" s="20">
        <v>1.8</v>
      </c>
      <c r="R10" s="20">
        <v>46.8</v>
      </c>
      <c r="T10" s="17" t="s">
        <v>66</v>
      </c>
      <c r="U10" s="20">
        <v>6.4</v>
      </c>
      <c r="V10" s="20">
        <v>2.7</v>
      </c>
      <c r="W10" s="20">
        <v>1.5</v>
      </c>
      <c r="X10" s="20">
        <v>44.7</v>
      </c>
      <c r="Y10" s="20">
        <v>56</v>
      </c>
      <c r="Z10" s="20">
        <v>56.9</v>
      </c>
      <c r="AA10" s="20">
        <v>68.3</v>
      </c>
      <c r="AB10" s="20">
        <v>70.599999999999994</v>
      </c>
    </row>
    <row r="11" spans="1:29" x14ac:dyDescent="0.25">
      <c r="A11" s="17">
        <v>9</v>
      </c>
      <c r="B11" s="17" t="s">
        <v>86</v>
      </c>
      <c r="C11" s="16">
        <v>0</v>
      </c>
      <c r="D11" s="16">
        <v>0</v>
      </c>
      <c r="E11" s="16">
        <v>0</v>
      </c>
      <c r="F11" s="16">
        <v>0</v>
      </c>
      <c r="G11" s="16">
        <v>70</v>
      </c>
      <c r="H11" s="16">
        <v>1020</v>
      </c>
      <c r="I11" s="16">
        <v>14</v>
      </c>
      <c r="J11" s="16">
        <v>0</v>
      </c>
      <c r="K11" s="16">
        <v>0</v>
      </c>
      <c r="L11" s="16">
        <v>1104</v>
      </c>
      <c r="N11" s="17" t="s">
        <v>129</v>
      </c>
      <c r="O11" s="16">
        <v>122</v>
      </c>
      <c r="P11" s="16">
        <v>234</v>
      </c>
      <c r="Q11" s="20">
        <v>1.9</v>
      </c>
      <c r="R11" s="20">
        <v>48.3</v>
      </c>
      <c r="T11" s="17" t="s">
        <v>99</v>
      </c>
      <c r="U11" s="20">
        <v>13.9</v>
      </c>
      <c r="V11" s="20">
        <v>5.9</v>
      </c>
      <c r="W11" s="20">
        <v>1.1000000000000001</v>
      </c>
      <c r="X11" s="20">
        <v>44.5</v>
      </c>
      <c r="Y11" s="20">
        <v>43.3</v>
      </c>
      <c r="Z11" s="20">
        <v>45.3</v>
      </c>
      <c r="AA11" s="20">
        <v>54.5</v>
      </c>
      <c r="AB11" s="20">
        <v>60.2</v>
      </c>
    </row>
    <row r="12" spans="1:29" x14ac:dyDescent="0.25">
      <c r="A12" s="17">
        <v>10</v>
      </c>
      <c r="B12" s="17" t="s">
        <v>69</v>
      </c>
      <c r="C12" s="16">
        <v>64220</v>
      </c>
      <c r="D12" s="16">
        <v>139405</v>
      </c>
      <c r="E12" s="16">
        <v>236107</v>
      </c>
      <c r="F12" s="16">
        <v>234853</v>
      </c>
      <c r="G12" s="16">
        <v>250591</v>
      </c>
      <c r="H12" s="16">
        <v>321178</v>
      </c>
      <c r="I12" s="16">
        <v>363053</v>
      </c>
      <c r="J12" s="16">
        <v>166841</v>
      </c>
      <c r="K12" s="16">
        <v>52381</v>
      </c>
      <c r="L12" s="16">
        <v>1801629</v>
      </c>
      <c r="N12" s="17" t="s">
        <v>130</v>
      </c>
      <c r="O12" s="16">
        <v>121</v>
      </c>
      <c r="P12" s="16">
        <v>218</v>
      </c>
      <c r="Q12" s="20">
        <v>1.7</v>
      </c>
      <c r="R12" s="20" t="s">
        <v>105</v>
      </c>
      <c r="T12" s="17" t="s">
        <v>76</v>
      </c>
      <c r="U12" s="20">
        <v>1.7</v>
      </c>
      <c r="V12" s="20">
        <v>6.7</v>
      </c>
      <c r="W12" s="20">
        <v>1.7</v>
      </c>
      <c r="X12" s="20">
        <v>42.9</v>
      </c>
      <c r="Y12" s="20">
        <v>49.5</v>
      </c>
      <c r="Z12" s="20">
        <v>51.2</v>
      </c>
      <c r="AA12" s="20">
        <v>54.7</v>
      </c>
      <c r="AB12" s="20">
        <v>59.9</v>
      </c>
    </row>
    <row r="13" spans="1:29" x14ac:dyDescent="0.25">
      <c r="A13" s="17">
        <v>11</v>
      </c>
      <c r="B13" s="17" t="s">
        <v>70</v>
      </c>
      <c r="C13" s="16">
        <v>561</v>
      </c>
      <c r="D13" s="16">
        <v>310</v>
      </c>
      <c r="E13" s="16">
        <v>358</v>
      </c>
      <c r="F13" s="16">
        <v>965</v>
      </c>
      <c r="G13" s="16">
        <v>583</v>
      </c>
      <c r="H13" s="16">
        <v>389</v>
      </c>
      <c r="I13" s="16">
        <v>385</v>
      </c>
      <c r="J13" s="16">
        <v>1758</v>
      </c>
      <c r="K13" s="16">
        <v>299</v>
      </c>
      <c r="L13" s="16">
        <v>5608</v>
      </c>
      <c r="N13" s="17" t="s">
        <v>131</v>
      </c>
      <c r="O13" s="16">
        <v>125</v>
      </c>
      <c r="P13" s="16">
        <v>241</v>
      </c>
      <c r="Q13" s="20">
        <v>1.9</v>
      </c>
      <c r="R13" s="20" t="s">
        <v>105</v>
      </c>
      <c r="T13" s="17" t="s">
        <v>111</v>
      </c>
      <c r="U13" s="20">
        <v>7.4</v>
      </c>
      <c r="V13" s="20">
        <v>3.1</v>
      </c>
      <c r="W13" s="20">
        <v>1.3</v>
      </c>
      <c r="X13" s="20">
        <v>33.6</v>
      </c>
      <c r="Y13" s="20">
        <v>28.7</v>
      </c>
      <c r="Z13" s="20">
        <v>25.6</v>
      </c>
      <c r="AA13" s="20">
        <v>31</v>
      </c>
      <c r="AB13" s="20">
        <v>32.299999999999997</v>
      </c>
    </row>
    <row r="14" spans="1:29" x14ac:dyDescent="0.25">
      <c r="A14" s="17">
        <v>12</v>
      </c>
      <c r="B14" s="17" t="s">
        <v>99</v>
      </c>
      <c r="C14" s="16">
        <v>75224</v>
      </c>
      <c r="D14" s="16">
        <v>54323</v>
      </c>
      <c r="E14" s="16">
        <v>39761</v>
      </c>
      <c r="F14" s="16">
        <v>35195</v>
      </c>
      <c r="G14" s="16">
        <v>14597</v>
      </c>
      <c r="H14" s="16">
        <v>17717</v>
      </c>
      <c r="I14" s="16">
        <v>69890</v>
      </c>
      <c r="J14" s="16">
        <v>46568</v>
      </c>
      <c r="K14" s="16">
        <v>3431</v>
      </c>
      <c r="L14" s="16">
        <v>356706</v>
      </c>
      <c r="N14" s="17" t="s">
        <v>132</v>
      </c>
      <c r="O14" s="16"/>
      <c r="P14" s="16"/>
      <c r="Q14" s="20"/>
      <c r="R14" s="20"/>
      <c r="T14" s="17" t="s">
        <v>69</v>
      </c>
      <c r="U14" s="20">
        <v>11.2</v>
      </c>
      <c r="V14" s="20">
        <v>4.8</v>
      </c>
      <c r="W14" s="20">
        <v>1.5</v>
      </c>
      <c r="X14" s="20">
        <v>28.5</v>
      </c>
      <c r="Y14" s="20">
        <v>34.200000000000003</v>
      </c>
      <c r="Z14" s="20">
        <v>30.3</v>
      </c>
      <c r="AA14" s="20">
        <v>40.700000000000003</v>
      </c>
      <c r="AB14" s="20">
        <v>43.4</v>
      </c>
    </row>
    <row r="15" spans="1:29" x14ac:dyDescent="0.25">
      <c r="A15" s="17">
        <v>13</v>
      </c>
      <c r="B15" s="17" t="s">
        <v>71</v>
      </c>
      <c r="C15" s="16">
        <v>35242</v>
      </c>
      <c r="D15" s="16">
        <v>106172</v>
      </c>
      <c r="E15" s="16">
        <v>132829</v>
      </c>
      <c r="F15" s="16">
        <v>159959</v>
      </c>
      <c r="G15" s="16">
        <v>171097</v>
      </c>
      <c r="H15" s="16">
        <v>49878</v>
      </c>
      <c r="I15" s="16">
        <v>113479</v>
      </c>
      <c r="J15" s="16">
        <v>186389</v>
      </c>
      <c r="K15" s="16">
        <v>88667</v>
      </c>
      <c r="L15" s="16">
        <v>1025712</v>
      </c>
      <c r="N15" s="17" t="s">
        <v>133</v>
      </c>
      <c r="O15" s="16"/>
      <c r="P15" s="16"/>
      <c r="Q15" s="20"/>
      <c r="R15" s="20"/>
      <c r="T15" s="17" t="s">
        <v>64</v>
      </c>
      <c r="U15" s="20">
        <v>5.0999999999999996</v>
      </c>
      <c r="V15" s="20">
        <v>2.2000000000000002</v>
      </c>
      <c r="W15" s="20">
        <v>1</v>
      </c>
      <c r="X15" s="20">
        <v>27.6</v>
      </c>
      <c r="Y15" s="20">
        <v>31.2</v>
      </c>
      <c r="Z15" s="20">
        <v>33.200000000000003</v>
      </c>
      <c r="AA15" s="20">
        <v>37.5</v>
      </c>
      <c r="AB15" s="20">
        <v>34.299999999999997</v>
      </c>
    </row>
    <row r="16" spans="1:29" x14ac:dyDescent="0.25">
      <c r="A16" s="17">
        <v>14</v>
      </c>
      <c r="B16" s="17" t="s">
        <v>72</v>
      </c>
      <c r="C16" s="16">
        <v>2907</v>
      </c>
      <c r="D16" s="16">
        <v>4611</v>
      </c>
      <c r="E16" s="16">
        <v>3036</v>
      </c>
      <c r="F16" s="16">
        <v>10081</v>
      </c>
      <c r="G16" s="16">
        <v>8498</v>
      </c>
      <c r="H16" s="16">
        <v>13592</v>
      </c>
      <c r="I16" s="16">
        <v>30331</v>
      </c>
      <c r="J16" s="16">
        <v>22419</v>
      </c>
      <c r="K16" s="16">
        <v>0</v>
      </c>
      <c r="L16" s="16">
        <v>95475</v>
      </c>
      <c r="N16" s="17" t="s">
        <v>134</v>
      </c>
      <c r="O16" s="16"/>
      <c r="P16" s="16"/>
      <c r="Q16" s="20"/>
      <c r="R16" s="20"/>
      <c r="T16" s="17" t="s">
        <v>74</v>
      </c>
      <c r="U16" s="20">
        <v>16.600000000000001</v>
      </c>
      <c r="V16" s="20">
        <v>7.1</v>
      </c>
      <c r="W16" s="20">
        <v>1.2</v>
      </c>
      <c r="X16" s="20">
        <v>26.4</v>
      </c>
      <c r="Y16" s="20">
        <v>42</v>
      </c>
      <c r="Z16" s="20">
        <v>42.3</v>
      </c>
      <c r="AA16" s="20">
        <v>44.7</v>
      </c>
      <c r="AB16" s="20">
        <v>46.8</v>
      </c>
    </row>
    <row r="17" spans="1:28" x14ac:dyDescent="0.25">
      <c r="A17" s="17">
        <v>15</v>
      </c>
      <c r="B17" s="17" t="s">
        <v>73</v>
      </c>
      <c r="C17" s="16">
        <v>1799</v>
      </c>
      <c r="D17" s="16">
        <v>1950</v>
      </c>
      <c r="E17" s="16">
        <v>600</v>
      </c>
      <c r="F17" s="16">
        <v>507</v>
      </c>
      <c r="G17" s="16">
        <v>942</v>
      </c>
      <c r="H17" s="16">
        <v>742</v>
      </c>
      <c r="I17" s="16">
        <v>3719</v>
      </c>
      <c r="J17" s="16">
        <v>3039</v>
      </c>
      <c r="K17" s="16">
        <v>2864</v>
      </c>
      <c r="L17" s="16">
        <v>16162</v>
      </c>
      <c r="N17" s="17" t="s">
        <v>135</v>
      </c>
      <c r="O17" s="16"/>
      <c r="P17" s="16"/>
      <c r="Q17" s="20"/>
      <c r="R17" s="20">
        <v>49.3</v>
      </c>
      <c r="T17" s="17" t="s">
        <v>71</v>
      </c>
      <c r="U17" s="20">
        <v>11.4</v>
      </c>
      <c r="V17" s="20">
        <v>4.8</v>
      </c>
      <c r="W17" s="20">
        <v>1</v>
      </c>
      <c r="X17" s="20">
        <v>16.8</v>
      </c>
      <c r="Y17" s="20">
        <v>19.399999999999999</v>
      </c>
      <c r="Z17" s="20">
        <v>20.3</v>
      </c>
      <c r="AA17" s="20">
        <v>21.7</v>
      </c>
      <c r="AB17" s="20">
        <v>43.3</v>
      </c>
    </row>
    <row r="18" spans="1:28" x14ac:dyDescent="0.25">
      <c r="A18" s="17">
        <v>16</v>
      </c>
      <c r="B18" s="17" t="s">
        <v>74</v>
      </c>
      <c r="C18" s="16">
        <v>56346</v>
      </c>
      <c r="D18" s="16">
        <v>47650</v>
      </c>
      <c r="E18" s="16">
        <v>48205</v>
      </c>
      <c r="F18" s="16">
        <v>53982</v>
      </c>
      <c r="G18" s="16">
        <v>58573</v>
      </c>
      <c r="H18" s="16">
        <v>69191</v>
      </c>
      <c r="I18" s="16">
        <v>78232</v>
      </c>
      <c r="J18" s="16">
        <v>191004</v>
      </c>
      <c r="K18" s="16">
        <v>165582</v>
      </c>
      <c r="L18" s="16">
        <v>768765</v>
      </c>
      <c r="N18" s="17" t="s">
        <v>136</v>
      </c>
      <c r="O18" s="16"/>
      <c r="P18" s="16"/>
      <c r="Q18" s="20"/>
      <c r="R18" s="20">
        <v>49.3</v>
      </c>
      <c r="T18" s="17" t="s">
        <v>68</v>
      </c>
      <c r="U18" s="20">
        <v>1.7</v>
      </c>
      <c r="V18" s="20">
        <v>0.7</v>
      </c>
      <c r="W18" s="20">
        <v>1.7</v>
      </c>
      <c r="X18" s="20">
        <v>5.4</v>
      </c>
      <c r="Y18" s="20">
        <v>14.3</v>
      </c>
      <c r="Z18" s="20">
        <v>12.2</v>
      </c>
      <c r="AA18" s="20">
        <v>14.3</v>
      </c>
      <c r="AB18" s="20">
        <v>17.2</v>
      </c>
    </row>
    <row r="19" spans="1:28" x14ac:dyDescent="0.25">
      <c r="A19" s="17">
        <v>17</v>
      </c>
      <c r="B19" s="17" t="s">
        <v>100</v>
      </c>
      <c r="C19" s="16">
        <v>32288</v>
      </c>
      <c r="D19" s="16">
        <v>44778</v>
      </c>
      <c r="E19" s="16">
        <v>105695</v>
      </c>
      <c r="F19" s="16">
        <v>172445</v>
      </c>
      <c r="G19" s="16">
        <v>263494</v>
      </c>
      <c r="H19" s="16">
        <v>214147</v>
      </c>
      <c r="I19" s="16">
        <v>102329</v>
      </c>
      <c r="J19" s="16">
        <v>70856</v>
      </c>
      <c r="K19" s="16">
        <v>129021</v>
      </c>
      <c r="L19" s="16">
        <v>1135053</v>
      </c>
      <c r="N19" s="17" t="s">
        <v>137</v>
      </c>
      <c r="O19" s="16"/>
      <c r="P19" s="16"/>
      <c r="Q19" s="20"/>
      <c r="R19" s="20">
        <v>49.5</v>
      </c>
      <c r="T19" s="17" t="s">
        <v>77</v>
      </c>
      <c r="U19" s="20">
        <v>4.0999999999999996</v>
      </c>
      <c r="V19" s="20">
        <v>1.7</v>
      </c>
      <c r="W19" s="20">
        <v>1.5</v>
      </c>
      <c r="X19" s="20">
        <v>4.9000000000000004</v>
      </c>
      <c r="Y19" s="20">
        <v>9.1999999999999993</v>
      </c>
      <c r="Z19" s="20">
        <v>11.9</v>
      </c>
      <c r="AA19" s="20">
        <v>14.7</v>
      </c>
      <c r="AB19" s="20">
        <v>15</v>
      </c>
    </row>
    <row r="20" spans="1:28" x14ac:dyDescent="0.25">
      <c r="A20" s="17">
        <v>18</v>
      </c>
      <c r="B20" s="17" t="s">
        <v>75</v>
      </c>
      <c r="C20" s="16">
        <v>39864</v>
      </c>
      <c r="D20" s="16">
        <v>61980</v>
      </c>
      <c r="E20" s="16">
        <v>89474</v>
      </c>
      <c r="F20" s="16">
        <v>40381</v>
      </c>
      <c r="G20" s="16">
        <v>4548</v>
      </c>
      <c r="H20" s="16">
        <v>11308</v>
      </c>
      <c r="I20" s="16">
        <v>35538</v>
      </c>
      <c r="J20" s="16">
        <v>40711</v>
      </c>
      <c r="K20" s="16">
        <v>3112</v>
      </c>
      <c r="L20" s="16">
        <v>326916</v>
      </c>
      <c r="N20" s="17" t="s">
        <v>138</v>
      </c>
      <c r="O20" s="16"/>
      <c r="P20" s="16"/>
      <c r="Q20" s="20"/>
      <c r="R20" s="20">
        <v>50.5</v>
      </c>
      <c r="T20" s="17" t="s">
        <v>112</v>
      </c>
      <c r="U20" s="20">
        <v>6.3</v>
      </c>
      <c r="V20" s="20">
        <v>2.6</v>
      </c>
      <c r="W20" s="20" t="s">
        <v>105</v>
      </c>
      <c r="X20" s="20" t="s">
        <v>105</v>
      </c>
      <c r="Y20" s="20"/>
      <c r="Z20" s="20"/>
      <c r="AA20" s="20"/>
      <c r="AB20" s="20"/>
    </row>
    <row r="21" spans="1:28" x14ac:dyDescent="0.25">
      <c r="A21" s="17">
        <v>19</v>
      </c>
      <c r="B21" s="17" t="s">
        <v>76</v>
      </c>
      <c r="C21" s="16">
        <v>721</v>
      </c>
      <c r="D21" s="16">
        <v>3199</v>
      </c>
      <c r="E21" s="16">
        <v>2182</v>
      </c>
      <c r="F21" s="16">
        <v>4256.41</v>
      </c>
      <c r="G21" s="16">
        <v>6790</v>
      </c>
      <c r="H21" s="16">
        <v>4128</v>
      </c>
      <c r="I21" s="16">
        <v>3700</v>
      </c>
      <c r="J21" s="16">
        <v>7231</v>
      </c>
      <c r="K21" s="16">
        <v>832</v>
      </c>
      <c r="L21" s="16">
        <v>33039</v>
      </c>
      <c r="N21" s="17" t="s">
        <v>139</v>
      </c>
      <c r="O21" s="16"/>
      <c r="P21" s="16"/>
      <c r="Q21" s="20"/>
      <c r="R21" s="20">
        <v>52</v>
      </c>
      <c r="T21" s="17" t="s">
        <v>108</v>
      </c>
      <c r="U21" s="20">
        <v>234.4</v>
      </c>
      <c r="V21" s="20">
        <v>100</v>
      </c>
      <c r="W21" s="20">
        <v>1.9</v>
      </c>
      <c r="X21" s="20">
        <v>48.3</v>
      </c>
      <c r="Y21" s="20">
        <v>49.3</v>
      </c>
      <c r="Z21" s="20">
        <v>50.5</v>
      </c>
      <c r="AA21" s="20">
        <v>55</v>
      </c>
      <c r="AB21" s="20">
        <v>59.92</v>
      </c>
    </row>
    <row r="22" spans="1:28" x14ac:dyDescent="0.25">
      <c r="A22" s="17">
        <v>20</v>
      </c>
      <c r="B22" s="17" t="s">
        <v>97</v>
      </c>
      <c r="C22" s="16">
        <v>1598</v>
      </c>
      <c r="D22" s="16">
        <v>32511</v>
      </c>
      <c r="E22" s="16">
        <v>28235</v>
      </c>
      <c r="F22" s="16">
        <v>55086</v>
      </c>
      <c r="G22" s="16">
        <v>56953</v>
      </c>
      <c r="H22" s="16">
        <v>58104</v>
      </c>
      <c r="I22" s="16">
        <v>33931</v>
      </c>
      <c r="J22" s="16">
        <v>65226</v>
      </c>
      <c r="K22" s="16">
        <v>31250</v>
      </c>
      <c r="L22" s="16">
        <v>362894</v>
      </c>
      <c r="N22" s="17" t="s">
        <v>140</v>
      </c>
      <c r="O22" s="16"/>
      <c r="P22" s="16"/>
      <c r="Q22" s="20"/>
      <c r="R22" s="20">
        <v>53.2</v>
      </c>
    </row>
    <row r="23" spans="1:28" x14ac:dyDescent="0.25">
      <c r="A23" s="17">
        <v>21</v>
      </c>
      <c r="B23" s="17" t="s">
        <v>102</v>
      </c>
      <c r="C23" s="16">
        <v>0</v>
      </c>
      <c r="D23" s="16">
        <v>0</v>
      </c>
      <c r="E23" s="16">
        <v>2137</v>
      </c>
      <c r="F23" s="16">
        <v>13370</v>
      </c>
      <c r="G23" s="16">
        <v>21824</v>
      </c>
      <c r="H23" s="16">
        <v>14821</v>
      </c>
      <c r="I23" s="16">
        <v>14365</v>
      </c>
      <c r="J23" s="16">
        <v>25120</v>
      </c>
      <c r="K23" s="16">
        <v>4327</v>
      </c>
      <c r="L23" s="16">
        <v>95964</v>
      </c>
      <c r="N23" s="17" t="s">
        <v>141</v>
      </c>
      <c r="O23" s="16"/>
      <c r="P23" s="16"/>
      <c r="Q23" s="20"/>
      <c r="R23" s="20">
        <v>55</v>
      </c>
      <c r="T23" s="21" t="s">
        <v>116</v>
      </c>
    </row>
    <row r="24" spans="1:28" x14ac:dyDescent="0.25">
      <c r="A24" s="17">
        <v>22</v>
      </c>
      <c r="B24" s="17" t="s">
        <v>101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6898</v>
      </c>
      <c r="I24" s="16">
        <v>3009</v>
      </c>
      <c r="J24" s="16">
        <v>1798</v>
      </c>
      <c r="K24" s="16">
        <v>737</v>
      </c>
      <c r="L24" s="16">
        <v>12442</v>
      </c>
      <c r="N24" s="17" t="s">
        <v>142</v>
      </c>
      <c r="O24" s="16"/>
      <c r="P24" s="16"/>
      <c r="Q24" s="20"/>
      <c r="R24" s="20">
        <v>54.9</v>
      </c>
      <c r="T24" s="14" t="s">
        <v>159</v>
      </c>
    </row>
    <row r="25" spans="1:28" x14ac:dyDescent="0.25">
      <c r="A25" s="17">
        <v>23</v>
      </c>
      <c r="B25" s="17" t="s">
        <v>77</v>
      </c>
      <c r="C25" s="16">
        <v>0</v>
      </c>
      <c r="D25" s="16">
        <v>0</v>
      </c>
      <c r="E25" s="16">
        <v>782</v>
      </c>
      <c r="F25" s="16">
        <v>70</v>
      </c>
      <c r="G25" s="16">
        <v>10873</v>
      </c>
      <c r="H25" s="16">
        <v>6731</v>
      </c>
      <c r="I25" s="16">
        <v>12849</v>
      </c>
      <c r="J25" s="16">
        <v>7960</v>
      </c>
      <c r="K25" s="16">
        <v>5902</v>
      </c>
      <c r="L25" s="16">
        <v>45167</v>
      </c>
      <c r="N25" s="17" t="s">
        <v>143</v>
      </c>
      <c r="O25" s="16"/>
      <c r="P25" s="16"/>
      <c r="Q25" s="20"/>
      <c r="R25" s="20">
        <v>55.8</v>
      </c>
    </row>
    <row r="26" spans="1:28" x14ac:dyDescent="0.25">
      <c r="A26" s="17">
        <v>24</v>
      </c>
      <c r="B26" s="17" t="s">
        <v>78</v>
      </c>
      <c r="C26" s="16">
        <v>0</v>
      </c>
      <c r="D26" s="16">
        <v>0</v>
      </c>
      <c r="E26" s="16">
        <v>0</v>
      </c>
      <c r="F26" s="16">
        <v>1600</v>
      </c>
      <c r="G26" s="16">
        <v>2554</v>
      </c>
      <c r="H26" s="16">
        <v>4455</v>
      </c>
      <c r="I26" s="16">
        <v>2894</v>
      </c>
      <c r="J26" s="16">
        <v>3409</v>
      </c>
      <c r="K26" s="16">
        <v>982</v>
      </c>
      <c r="L26" s="16">
        <v>15894</v>
      </c>
      <c r="N26" s="17" t="s">
        <v>144</v>
      </c>
      <c r="O26" s="16"/>
      <c r="P26" s="16"/>
      <c r="Q26" s="20"/>
      <c r="R26" s="20">
        <v>59.92</v>
      </c>
    </row>
    <row r="27" spans="1:28" x14ac:dyDescent="0.25">
      <c r="A27" s="17">
        <v>25</v>
      </c>
      <c r="B27" s="17" t="s">
        <v>79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N27" s="17" t="s">
        <v>145</v>
      </c>
      <c r="O27" s="16"/>
      <c r="P27" s="16"/>
      <c r="Q27" s="20"/>
      <c r="R27" s="20"/>
    </row>
    <row r="28" spans="1:28" x14ac:dyDescent="0.25">
      <c r="A28" s="17">
        <v>26</v>
      </c>
      <c r="B28" s="17" t="s">
        <v>80</v>
      </c>
      <c r="C28" s="16">
        <v>398</v>
      </c>
      <c r="D28" s="16">
        <v>0</v>
      </c>
      <c r="E28" s="16">
        <v>0</v>
      </c>
      <c r="F28" s="16">
        <v>0</v>
      </c>
      <c r="G28" s="16">
        <v>2348</v>
      </c>
      <c r="H28" s="16">
        <v>519</v>
      </c>
      <c r="I28" s="16">
        <v>427</v>
      </c>
      <c r="J28" s="16">
        <v>826</v>
      </c>
      <c r="K28" s="16">
        <v>4041</v>
      </c>
      <c r="L28" s="16">
        <v>8559</v>
      </c>
      <c r="N28" s="17" t="s">
        <v>146</v>
      </c>
      <c r="O28" s="16"/>
      <c r="P28" s="16"/>
      <c r="Q28" s="20"/>
      <c r="R28" s="20"/>
    </row>
    <row r="29" spans="1:28" x14ac:dyDescent="0.25">
      <c r="A29" s="17">
        <v>27</v>
      </c>
      <c r="B29" s="17" t="s">
        <v>81</v>
      </c>
      <c r="C29" s="16">
        <v>0</v>
      </c>
      <c r="D29" s="16">
        <v>0</v>
      </c>
      <c r="E29" s="16">
        <v>0</v>
      </c>
      <c r="F29" s="16">
        <v>0</v>
      </c>
      <c r="G29" s="16">
        <v>2830</v>
      </c>
      <c r="H29" s="16">
        <v>1520</v>
      </c>
      <c r="I29" s="16">
        <v>5518</v>
      </c>
      <c r="J29" s="16">
        <v>7626</v>
      </c>
      <c r="K29" s="16">
        <v>1686</v>
      </c>
      <c r="L29" s="16">
        <v>19180</v>
      </c>
    </row>
    <row r="30" spans="1:28" x14ac:dyDescent="0.25">
      <c r="A30" s="17">
        <v>28</v>
      </c>
      <c r="B30" s="17" t="s">
        <v>82</v>
      </c>
      <c r="C30" s="16">
        <v>773</v>
      </c>
      <c r="D30" s="16">
        <v>0</v>
      </c>
      <c r="E30" s="16">
        <v>0</v>
      </c>
      <c r="F30" s="16">
        <v>0</v>
      </c>
      <c r="G30" s="16">
        <v>2524</v>
      </c>
      <c r="H30" s="16">
        <v>3000</v>
      </c>
      <c r="I30" s="16">
        <v>2914</v>
      </c>
      <c r="J30" s="16">
        <v>2772</v>
      </c>
      <c r="K30" s="16">
        <v>3477</v>
      </c>
      <c r="L30" s="16">
        <v>15460</v>
      </c>
      <c r="N30" s="14" t="s">
        <v>106</v>
      </c>
    </row>
    <row r="31" spans="1:28" x14ac:dyDescent="0.25">
      <c r="A31" s="17">
        <v>29</v>
      </c>
      <c r="B31" s="17" t="s">
        <v>83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3413</v>
      </c>
      <c r="J31" s="16">
        <v>732</v>
      </c>
      <c r="K31" s="16">
        <v>0</v>
      </c>
      <c r="L31" s="16">
        <v>4145</v>
      </c>
      <c r="N31" s="21" t="s">
        <v>116</v>
      </c>
    </row>
    <row r="32" spans="1:28" x14ac:dyDescent="0.25">
      <c r="A32" s="17">
        <v>30</v>
      </c>
      <c r="B32" s="17" t="s">
        <v>84</v>
      </c>
      <c r="C32" s="16"/>
      <c r="D32" s="16"/>
      <c r="E32" s="16"/>
      <c r="F32" s="16"/>
      <c r="G32" s="16"/>
      <c r="H32" s="16"/>
      <c r="I32" s="16"/>
      <c r="J32" s="16">
        <v>3</v>
      </c>
      <c r="K32" s="16">
        <v>0</v>
      </c>
      <c r="L32" s="16">
        <v>3</v>
      </c>
      <c r="N32" s="14" t="s">
        <v>147</v>
      </c>
    </row>
    <row r="33" spans="1:14" x14ac:dyDescent="0.25">
      <c r="A33" s="17"/>
      <c r="B33" s="17" t="s">
        <v>59</v>
      </c>
      <c r="C33" s="16">
        <v>572980</v>
      </c>
      <c r="D33" s="16">
        <v>839961</v>
      </c>
      <c r="E33" s="16">
        <v>1048934</v>
      </c>
      <c r="F33" s="16">
        <v>1158519</v>
      </c>
      <c r="G33" s="16">
        <v>1172572</v>
      </c>
      <c r="H33" s="16">
        <v>937114</v>
      </c>
      <c r="I33" s="16">
        <v>1015073</v>
      </c>
      <c r="J33" s="16">
        <v>1102556</v>
      </c>
      <c r="K33" s="16">
        <v>751685</v>
      </c>
      <c r="L33" s="16">
        <v>8599395</v>
      </c>
    </row>
    <row r="34" spans="1:14" x14ac:dyDescent="0.25">
      <c r="N34" s="14" t="s">
        <v>159</v>
      </c>
    </row>
    <row r="35" spans="1:14" x14ac:dyDescent="0.25">
      <c r="A35" s="14" t="s">
        <v>98</v>
      </c>
    </row>
    <row r="37" spans="1:14" x14ac:dyDescent="0.25">
      <c r="B37" t="s">
        <v>104</v>
      </c>
      <c r="C37" t="s">
        <v>148</v>
      </c>
    </row>
    <row r="38" spans="1:14" x14ac:dyDescent="0.25">
      <c r="B38" t="s">
        <v>149</v>
      </c>
      <c r="C38">
        <v>5.73</v>
      </c>
    </row>
    <row r="39" spans="1:14" x14ac:dyDescent="0.25">
      <c r="B39" t="s">
        <v>150</v>
      </c>
      <c r="C39">
        <v>8.4</v>
      </c>
    </row>
    <row r="40" spans="1:14" x14ac:dyDescent="0.25">
      <c r="B40" t="s">
        <v>151</v>
      </c>
      <c r="C40">
        <v>10.49</v>
      </c>
    </row>
    <row r="41" spans="1:14" x14ac:dyDescent="0.25">
      <c r="B41" t="s">
        <v>152</v>
      </c>
      <c r="C41">
        <v>11.59</v>
      </c>
    </row>
    <row r="42" spans="1:14" x14ac:dyDescent="0.25">
      <c r="B42" t="s">
        <v>153</v>
      </c>
      <c r="C42">
        <v>11.73</v>
      </c>
    </row>
    <row r="43" spans="1:14" x14ac:dyDescent="0.25">
      <c r="B43" t="s">
        <v>154</v>
      </c>
      <c r="C43">
        <v>9.3699999999999992</v>
      </c>
    </row>
    <row r="44" spans="1:14" x14ac:dyDescent="0.25">
      <c r="B44" t="s">
        <v>155</v>
      </c>
      <c r="C44">
        <v>10.15</v>
      </c>
    </row>
    <row r="45" spans="1:14" x14ac:dyDescent="0.25">
      <c r="B45" t="s">
        <v>156</v>
      </c>
      <c r="C45">
        <v>11.02</v>
      </c>
    </row>
    <row r="46" spans="1:14" x14ac:dyDescent="0.25">
      <c r="B46" t="s">
        <v>157</v>
      </c>
      <c r="C46">
        <v>11.41</v>
      </c>
    </row>
    <row r="47" spans="1:14" x14ac:dyDescent="0.25">
      <c r="B47" t="s">
        <v>158</v>
      </c>
      <c r="C47">
        <v>5.69</v>
      </c>
    </row>
    <row r="48" spans="1:14" x14ac:dyDescent="0.25">
      <c r="B48" s="18" t="s">
        <v>62</v>
      </c>
      <c r="C48" s="18">
        <f>SUM(C38:C47)</f>
        <v>95.579999999999984</v>
      </c>
    </row>
  </sheetData>
  <phoneticPr fontId="16" type="noConversion"/>
  <hyperlinks>
    <hyperlink ref="A35" r:id="rId1" display="https://agriwelfare.gov.in/sites/default/files/Area_Covered_PDMC.pdf" xr:uid="{C94BAF7F-433E-4DD0-BA17-BA616BDA31A4}"/>
    <hyperlink ref="N30" r:id="rId2" display="https://www.indiaspend.com/how-up-beats-maharashtra-gujarat-in-agriculture-productivity" xr:uid="{002A55B2-BC9B-4D79-B802-8CD67DF4724D}"/>
    <hyperlink ref="N32" r:id="rId3" display="https://www.pib.gov.in/PressReleaseIframePage.aspx?PRID=2097957&amp;reg=48&amp;lang=2" xr:uid="{3889856E-7802-45B1-94E6-8DEB2D355FC9}"/>
    <hyperlink ref="N34" r:id="rId4" display="https://desagri.gov.in/wp-content/uploads/2025/07/LUS-2023-24-to-be-printed-Uploaded.pdf" xr:uid="{18E194D6-3664-40C6-B8D0-87E29F6693FB}"/>
    <hyperlink ref="T24" r:id="rId5" display="https://desagri.gov.in/wp-content/uploads/2025/07/LUS-2023-24-to-be-printed-Uploaded.pdf" xr:uid="{31C39617-A3C7-42BC-A487-4B7D4F7A1F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E717-116E-4B54-9363-3E21F3CCD36B}">
  <dimension ref="A1:U43"/>
  <sheetViews>
    <sheetView showGridLines="0" topLeftCell="A9" workbookViewId="0">
      <selection activeCell="G38" sqref="G38"/>
    </sheetView>
  </sheetViews>
  <sheetFormatPr defaultRowHeight="15" x14ac:dyDescent="0.25"/>
  <cols>
    <col min="1" max="1" width="6.7109375" style="3" customWidth="1"/>
    <col min="2" max="2" width="16.7109375" style="3" customWidth="1"/>
    <col min="3" max="21" width="9.7109375" style="3" customWidth="1"/>
    <col min="22" max="16384" width="9.140625" style="3"/>
  </cols>
  <sheetData>
    <row r="1" spans="1:21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.75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/>
      <c r="G5" s="5"/>
      <c r="H5" s="4" t="s">
        <v>9</v>
      </c>
      <c r="I5" s="5"/>
      <c r="J5" s="5"/>
      <c r="K5" s="5"/>
      <c r="L5" s="4" t="s">
        <v>10</v>
      </c>
      <c r="M5" s="5"/>
      <c r="N5" s="5"/>
      <c r="O5" s="5"/>
      <c r="P5" s="5"/>
      <c r="Q5" s="5"/>
      <c r="R5" s="4" t="s">
        <v>11</v>
      </c>
      <c r="S5" s="5"/>
      <c r="T5" s="5"/>
      <c r="U5" s="6"/>
    </row>
    <row r="6" spans="1:21" x14ac:dyDescent="0.25">
      <c r="A6" s="5"/>
      <c r="B6" s="5"/>
      <c r="C6" s="5"/>
      <c r="D6" s="5"/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5"/>
      <c r="Q6" s="4" t="s">
        <v>18</v>
      </c>
      <c r="R6" s="4" t="s">
        <v>23</v>
      </c>
      <c r="S6" s="4" t="s">
        <v>24</v>
      </c>
      <c r="T6" s="4" t="s">
        <v>25</v>
      </c>
      <c r="U6" s="4" t="s">
        <v>26</v>
      </c>
    </row>
    <row r="7" spans="1:21" ht="2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7" t="s">
        <v>27</v>
      </c>
      <c r="P7" s="7" t="s">
        <v>28</v>
      </c>
      <c r="Q7" s="5"/>
      <c r="R7" s="5"/>
      <c r="S7" s="5"/>
      <c r="T7" s="5"/>
      <c r="U7" s="5"/>
    </row>
    <row r="8" spans="1:21" x14ac:dyDescent="0.25">
      <c r="A8" s="8">
        <v>1</v>
      </c>
      <c r="B8" s="8" t="s">
        <v>29</v>
      </c>
      <c r="C8" s="9">
        <v>244405</v>
      </c>
      <c r="D8" s="9">
        <v>244340.8</v>
      </c>
      <c r="E8" s="9">
        <v>54457.97</v>
      </c>
      <c r="F8" s="9">
        <v>1097.1500000000001</v>
      </c>
      <c r="G8" s="9">
        <v>188785.68</v>
      </c>
      <c r="H8" s="9">
        <v>207678.96</v>
      </c>
      <c r="I8" s="9">
        <v>22517.49</v>
      </c>
      <c r="J8" s="9">
        <v>7527.66</v>
      </c>
      <c r="K8" s="9">
        <v>6260.89</v>
      </c>
      <c r="L8" s="9">
        <v>35229.01</v>
      </c>
      <c r="M8" s="9">
        <v>909.9</v>
      </c>
      <c r="N8" s="9">
        <v>203353.28</v>
      </c>
      <c r="O8" s="9">
        <v>1204.5899999999999</v>
      </c>
      <c r="P8" s="9">
        <v>20.74</v>
      </c>
      <c r="Q8" s="9">
        <v>3267.48</v>
      </c>
      <c r="R8" s="9">
        <v>55961.51</v>
      </c>
      <c r="S8" s="9">
        <v>185208.03</v>
      </c>
      <c r="T8" s="9">
        <v>1590.13</v>
      </c>
      <c r="U8" s="9">
        <v>0</v>
      </c>
    </row>
    <row r="9" spans="1:21" x14ac:dyDescent="0.25">
      <c r="A9" s="8">
        <v>2</v>
      </c>
      <c r="B9" s="8" t="s">
        <v>30</v>
      </c>
      <c r="C9" s="9">
        <v>150915</v>
      </c>
      <c r="D9" s="9">
        <v>150915</v>
      </c>
      <c r="E9" s="9">
        <v>7340</v>
      </c>
      <c r="F9" s="9">
        <v>29110</v>
      </c>
      <c r="G9" s="9">
        <v>114465</v>
      </c>
      <c r="H9" s="9">
        <v>0</v>
      </c>
      <c r="I9" s="9">
        <v>1250</v>
      </c>
      <c r="J9" s="9">
        <v>143415</v>
      </c>
      <c r="K9" s="9">
        <v>5600</v>
      </c>
      <c r="L9" s="9">
        <v>91465</v>
      </c>
      <c r="M9" s="9">
        <v>8625</v>
      </c>
      <c r="N9" s="9">
        <v>41920</v>
      </c>
      <c r="O9" s="9">
        <v>6815</v>
      </c>
      <c r="P9" s="9">
        <v>840</v>
      </c>
      <c r="Q9" s="9">
        <v>600</v>
      </c>
      <c r="R9" s="9">
        <v>5692</v>
      </c>
      <c r="S9" s="9">
        <v>118738</v>
      </c>
      <c r="T9" s="9">
        <v>8500</v>
      </c>
      <c r="U9" s="9">
        <v>10450</v>
      </c>
    </row>
    <row r="10" spans="1:21" x14ac:dyDescent="0.25">
      <c r="A10" s="8">
        <v>3</v>
      </c>
      <c r="B10" s="8" t="s">
        <v>31</v>
      </c>
      <c r="C10" s="9">
        <v>164194</v>
      </c>
      <c r="D10" s="9">
        <v>136575.04000000001</v>
      </c>
      <c r="E10" s="9">
        <v>32596.86</v>
      </c>
      <c r="F10" s="9">
        <v>8948.1</v>
      </c>
      <c r="G10" s="9">
        <v>95030.080000000002</v>
      </c>
      <c r="H10" s="9">
        <v>18705.830000000002</v>
      </c>
      <c r="I10" s="9">
        <v>376.72</v>
      </c>
      <c r="J10" s="9">
        <v>37989.589999999997</v>
      </c>
      <c r="K10" s="9">
        <v>78863.929999999993</v>
      </c>
      <c r="L10" s="9">
        <v>12545.92</v>
      </c>
      <c r="M10" s="9">
        <v>3329.17</v>
      </c>
      <c r="N10" s="9">
        <v>117583.7</v>
      </c>
      <c r="O10" s="9">
        <v>601.91</v>
      </c>
      <c r="P10" s="9">
        <v>433.57</v>
      </c>
      <c r="Q10" s="9">
        <v>1441.8</v>
      </c>
      <c r="R10" s="9">
        <v>9401.5400000000009</v>
      </c>
      <c r="S10" s="9">
        <v>110951.75</v>
      </c>
      <c r="T10" s="9">
        <v>14559.3</v>
      </c>
      <c r="U10" s="9">
        <v>0</v>
      </c>
    </row>
    <row r="11" spans="1:21" x14ac:dyDescent="0.25">
      <c r="A11" s="8">
        <v>4</v>
      </c>
      <c r="B11" s="8" t="s">
        <v>32</v>
      </c>
      <c r="C11" s="9">
        <v>171610</v>
      </c>
      <c r="D11" s="9">
        <v>148786.18580000001</v>
      </c>
      <c r="E11" s="9">
        <v>72162.046900000001</v>
      </c>
      <c r="F11" s="9">
        <v>8025.9654</v>
      </c>
      <c r="G11" s="9">
        <v>68598.173500000004</v>
      </c>
      <c r="H11" s="9">
        <v>133808.3187</v>
      </c>
      <c r="I11" s="9">
        <v>12608.6083</v>
      </c>
      <c r="J11" s="9">
        <v>269.47250000000003</v>
      </c>
      <c r="K11" s="9">
        <v>2098.7402999999999</v>
      </c>
      <c r="L11" s="9">
        <v>16947.937900000001</v>
      </c>
      <c r="M11" s="9">
        <v>2593.2217999999998</v>
      </c>
      <c r="N11" s="9">
        <v>120948.6507</v>
      </c>
      <c r="O11" s="9">
        <v>883.30169999999998</v>
      </c>
      <c r="P11" s="9">
        <v>2706.4277000000002</v>
      </c>
      <c r="Q11" s="9">
        <v>4705.6000000000004</v>
      </c>
      <c r="R11" s="9">
        <v>29971.2268</v>
      </c>
      <c r="S11" s="9">
        <v>42775.661899999999</v>
      </c>
      <c r="T11" s="9">
        <v>71816.668699999995</v>
      </c>
      <c r="U11" s="9">
        <v>635.96</v>
      </c>
    </row>
    <row r="12" spans="1:21" x14ac:dyDescent="0.25">
      <c r="A12" s="8">
        <v>5</v>
      </c>
      <c r="B12" s="8" t="s">
        <v>33</v>
      </c>
      <c r="C12" s="9">
        <v>250498</v>
      </c>
      <c r="D12" s="9">
        <v>250010.52350000001</v>
      </c>
      <c r="E12" s="9">
        <v>42916.682099999998</v>
      </c>
      <c r="F12" s="9">
        <v>31228.343700000001</v>
      </c>
      <c r="G12" s="9">
        <v>175865.49770000001</v>
      </c>
      <c r="H12" s="9">
        <v>168415.65</v>
      </c>
      <c r="I12" s="9">
        <v>79124.739000000001</v>
      </c>
      <c r="J12" s="9">
        <v>397.14400000000001</v>
      </c>
      <c r="K12" s="9">
        <v>2072.9904999999999</v>
      </c>
      <c r="L12" s="9">
        <v>29040.013800000001</v>
      </c>
      <c r="M12" s="9">
        <v>22167.140100000001</v>
      </c>
      <c r="N12" s="9">
        <v>159653.08489999999</v>
      </c>
      <c r="O12" s="9">
        <v>15142.4586</v>
      </c>
      <c r="P12" s="9">
        <v>18235.910100000001</v>
      </c>
      <c r="Q12" s="9">
        <v>5771.9160000000002</v>
      </c>
      <c r="R12" s="9">
        <v>56663.500800000002</v>
      </c>
      <c r="S12" s="9">
        <v>154609.99299999999</v>
      </c>
      <c r="T12" s="9">
        <v>4034.6480000000001</v>
      </c>
      <c r="U12" s="9">
        <v>1623.71</v>
      </c>
    </row>
    <row r="13" spans="1:21" x14ac:dyDescent="0.25">
      <c r="A13" s="8">
        <v>6</v>
      </c>
      <c r="B13" s="8" t="s">
        <v>34</v>
      </c>
      <c r="C13" s="9">
        <v>19985</v>
      </c>
      <c r="D13" s="9">
        <v>19984.9411</v>
      </c>
      <c r="E13" s="9">
        <v>5525.7066000000004</v>
      </c>
      <c r="F13" s="9">
        <v>58.116199999999999</v>
      </c>
      <c r="G13" s="9">
        <v>14401.1183</v>
      </c>
      <c r="H13" s="9">
        <v>11510.299499999999</v>
      </c>
      <c r="I13" s="9">
        <v>7429.9632000000001</v>
      </c>
      <c r="J13" s="9">
        <v>1043.0183</v>
      </c>
      <c r="K13" s="9">
        <v>1.6600999999999999</v>
      </c>
      <c r="L13" s="9">
        <v>1385.4989</v>
      </c>
      <c r="M13" s="9">
        <v>7.5774999999999997</v>
      </c>
      <c r="N13" s="9">
        <v>12208.849399999999</v>
      </c>
      <c r="O13" s="9">
        <v>4827.7033000000001</v>
      </c>
      <c r="P13" s="9">
        <v>1543.8362</v>
      </c>
      <c r="Q13" s="9">
        <v>11.4758</v>
      </c>
      <c r="R13" s="9">
        <v>2719.3779</v>
      </c>
      <c r="S13" s="9">
        <v>10805.891299999999</v>
      </c>
      <c r="T13" s="9">
        <v>92.059899999999999</v>
      </c>
      <c r="U13" s="9">
        <v>8.58</v>
      </c>
    </row>
    <row r="14" spans="1:21" x14ac:dyDescent="0.25">
      <c r="A14" s="8">
        <v>7</v>
      </c>
      <c r="B14" s="8" t="s">
        <v>35</v>
      </c>
      <c r="C14" s="9">
        <v>292367</v>
      </c>
      <c r="D14" s="9">
        <v>292334.96999999997</v>
      </c>
      <c r="E14" s="9">
        <v>78454.289999999994</v>
      </c>
      <c r="F14" s="9">
        <v>18945.810000000001</v>
      </c>
      <c r="G14" s="9">
        <v>194934.87</v>
      </c>
      <c r="H14" s="9">
        <v>183028.22</v>
      </c>
      <c r="I14" s="9">
        <v>98922.22</v>
      </c>
      <c r="J14" s="9">
        <v>8450.0400000000009</v>
      </c>
      <c r="K14" s="9">
        <v>1870.5</v>
      </c>
      <c r="L14" s="9">
        <v>29237.47</v>
      </c>
      <c r="M14" s="9">
        <v>12423.92</v>
      </c>
      <c r="N14" s="9">
        <v>186282.66</v>
      </c>
      <c r="O14" s="9">
        <v>16308.46</v>
      </c>
      <c r="P14" s="9">
        <v>11882.7</v>
      </c>
      <c r="Q14" s="9">
        <v>36135.769999999997</v>
      </c>
      <c r="R14" s="9">
        <v>82879.240000000005</v>
      </c>
      <c r="S14" s="9">
        <v>148934.45000000001</v>
      </c>
      <c r="T14" s="9">
        <v>30594.720000000001</v>
      </c>
      <c r="U14" s="9">
        <v>2938.08</v>
      </c>
    </row>
    <row r="15" spans="1:21" x14ac:dyDescent="0.25">
      <c r="A15" s="8">
        <v>8</v>
      </c>
      <c r="B15" s="8" t="s">
        <v>36</v>
      </c>
      <c r="C15" s="9">
        <v>31221</v>
      </c>
      <c r="D15" s="9">
        <v>31220.713899999999</v>
      </c>
      <c r="E15" s="9">
        <v>22624.943299999999</v>
      </c>
      <c r="F15" s="9">
        <v>516.36099999999999</v>
      </c>
      <c r="G15" s="9">
        <v>8079.4096</v>
      </c>
      <c r="H15" s="9">
        <v>27470.638200000001</v>
      </c>
      <c r="I15" s="9">
        <v>1392.4359999999999</v>
      </c>
      <c r="J15" s="9">
        <v>1145.2334000000001</v>
      </c>
      <c r="K15" s="9">
        <v>1212.4063000000001</v>
      </c>
      <c r="L15" s="9">
        <v>807.32500000000005</v>
      </c>
      <c r="M15" s="9">
        <v>648.89179999999999</v>
      </c>
      <c r="N15" s="9">
        <v>26409.249199999998</v>
      </c>
      <c r="O15" s="9">
        <v>110.6425</v>
      </c>
      <c r="P15" s="9">
        <v>0.34499999999999997</v>
      </c>
      <c r="Q15" s="9">
        <v>3244.2604000000001</v>
      </c>
      <c r="R15" s="9">
        <v>3172.0981999999999</v>
      </c>
      <c r="S15" s="9">
        <v>2108.3589999999999</v>
      </c>
      <c r="T15" s="9">
        <v>25773.129199999999</v>
      </c>
      <c r="U15" s="9">
        <v>56.14</v>
      </c>
    </row>
    <row r="16" spans="1:21" x14ac:dyDescent="0.25">
      <c r="A16" s="8">
        <v>9</v>
      </c>
      <c r="B16" s="8" t="s">
        <v>37</v>
      </c>
      <c r="C16" s="9">
        <v>66870</v>
      </c>
      <c r="D16" s="9">
        <v>61403.277499999997</v>
      </c>
      <c r="E16" s="9">
        <v>4306.99</v>
      </c>
      <c r="F16" s="9">
        <v>4277.4678999999996</v>
      </c>
      <c r="G16" s="9">
        <v>52818.819600000003</v>
      </c>
      <c r="H16" s="9">
        <v>28567.193899999998</v>
      </c>
      <c r="I16" s="9">
        <v>28437.679700000001</v>
      </c>
      <c r="J16" s="9">
        <v>2717.3472000000002</v>
      </c>
      <c r="K16" s="9">
        <v>1681.0515</v>
      </c>
      <c r="L16" s="9">
        <v>10842.536899999999</v>
      </c>
      <c r="M16" s="9">
        <v>12657.131799999999</v>
      </c>
      <c r="N16" s="9">
        <v>15058.285900000001</v>
      </c>
      <c r="O16" s="9">
        <v>8160.5096000000003</v>
      </c>
      <c r="P16" s="9">
        <v>7435.4570000000003</v>
      </c>
      <c r="Q16" s="9">
        <v>7249.3510999999999</v>
      </c>
      <c r="R16" s="9">
        <v>29232.7402</v>
      </c>
      <c r="S16" s="9">
        <v>6084.2053999999998</v>
      </c>
      <c r="T16" s="9">
        <v>10545.593699999999</v>
      </c>
      <c r="U16" s="9">
        <v>14.1173</v>
      </c>
    </row>
    <row r="17" spans="1:21" x14ac:dyDescent="0.25">
      <c r="A17" s="8">
        <v>10</v>
      </c>
      <c r="B17" s="8" t="s">
        <v>38</v>
      </c>
      <c r="C17" s="9">
        <v>148000</v>
      </c>
      <c r="D17" s="9">
        <v>144431.9443</v>
      </c>
      <c r="E17" s="9">
        <v>39426.641499999998</v>
      </c>
      <c r="F17" s="9">
        <v>9709.2846000000009</v>
      </c>
      <c r="G17" s="9">
        <v>95296.018200000006</v>
      </c>
      <c r="H17" s="9">
        <v>87825.3361</v>
      </c>
      <c r="I17" s="9">
        <v>44888.4208</v>
      </c>
      <c r="J17" s="9">
        <v>1795.492</v>
      </c>
      <c r="K17" s="9">
        <v>9810.8091999999997</v>
      </c>
      <c r="L17" s="9">
        <v>29248.2402</v>
      </c>
      <c r="M17" s="9">
        <v>2371.6745999999998</v>
      </c>
      <c r="N17" s="9">
        <v>72407.450100000002</v>
      </c>
      <c r="O17" s="9">
        <v>17517.251199999999</v>
      </c>
      <c r="P17" s="9">
        <v>12572.313700000001</v>
      </c>
      <c r="Q17" s="9">
        <v>10203.1283</v>
      </c>
      <c r="R17" s="9">
        <v>51500.2696</v>
      </c>
      <c r="S17" s="9">
        <v>55668.287199999999</v>
      </c>
      <c r="T17" s="9">
        <v>7131.6940999999997</v>
      </c>
      <c r="U17" s="9">
        <v>234.39750000000001</v>
      </c>
    </row>
    <row r="18" spans="1:21" x14ac:dyDescent="0.25">
      <c r="A18" s="8">
        <v>11</v>
      </c>
      <c r="B18" s="8" t="s">
        <v>39</v>
      </c>
      <c r="C18" s="9">
        <v>334468.12</v>
      </c>
      <c r="D18" s="9">
        <v>336433.01179999998</v>
      </c>
      <c r="E18" s="9">
        <v>120524.37480000001</v>
      </c>
      <c r="F18" s="9">
        <v>21246.297999999999</v>
      </c>
      <c r="G18" s="9">
        <v>194658.75899999999</v>
      </c>
      <c r="H18" s="9">
        <v>283481.09499999997</v>
      </c>
      <c r="I18" s="9">
        <v>43356.523999999998</v>
      </c>
      <c r="J18" s="9">
        <v>8010.4128000000001</v>
      </c>
      <c r="K18" s="9">
        <v>1476.48</v>
      </c>
      <c r="L18" s="9">
        <v>8699.4387000000006</v>
      </c>
      <c r="M18" s="9">
        <v>5515.85</v>
      </c>
      <c r="N18" s="9">
        <v>286318.59509999998</v>
      </c>
      <c r="O18" s="9">
        <v>9192.52</v>
      </c>
      <c r="P18" s="9">
        <v>16101.276</v>
      </c>
      <c r="Q18" s="9">
        <v>10496.832</v>
      </c>
      <c r="R18" s="9">
        <v>36254.6345</v>
      </c>
      <c r="S18" s="9">
        <v>233274.99129999999</v>
      </c>
      <c r="T18" s="9">
        <v>38242.67</v>
      </c>
      <c r="U18" s="9">
        <v>3591.97</v>
      </c>
    </row>
    <row r="19" spans="1:21" x14ac:dyDescent="0.25">
      <c r="A19" s="8">
        <v>12</v>
      </c>
      <c r="B19" s="8" t="s">
        <v>40</v>
      </c>
      <c r="C19" s="9">
        <v>26163</v>
      </c>
      <c r="D19" s="9">
        <v>26162.768700000001</v>
      </c>
      <c r="E19" s="9">
        <v>8349.9879999999994</v>
      </c>
      <c r="F19" s="9">
        <v>1289.4813999999999</v>
      </c>
      <c r="G19" s="9">
        <v>16523.299299999999</v>
      </c>
      <c r="H19" s="9">
        <v>16243.421200000001</v>
      </c>
      <c r="I19" s="9">
        <v>3083.3629999999998</v>
      </c>
      <c r="J19" s="9">
        <v>1199.6133</v>
      </c>
      <c r="K19" s="9">
        <v>5636.1193000000003</v>
      </c>
      <c r="L19" s="9">
        <v>353.97980000000001</v>
      </c>
      <c r="M19" s="9">
        <v>9.5731000000000002</v>
      </c>
      <c r="N19" s="9">
        <v>22437.3426</v>
      </c>
      <c r="O19" s="9">
        <v>820.72019999999998</v>
      </c>
      <c r="P19" s="9">
        <v>1667.2951</v>
      </c>
      <c r="Q19" s="9">
        <v>873.60599999999999</v>
      </c>
      <c r="R19" s="9">
        <v>6818.5074000000004</v>
      </c>
      <c r="S19" s="9">
        <v>16734.009300000002</v>
      </c>
      <c r="T19" s="9">
        <v>119.041</v>
      </c>
      <c r="U19" s="9">
        <v>3.6938</v>
      </c>
    </row>
    <row r="20" spans="1:21" x14ac:dyDescent="0.25">
      <c r="A20" s="8">
        <v>13</v>
      </c>
      <c r="B20" s="8" t="s">
        <v>41</v>
      </c>
      <c r="C20" s="9">
        <v>548798</v>
      </c>
      <c r="D20" s="9">
        <v>510536.90159999998</v>
      </c>
      <c r="E20" s="9">
        <v>120167.2683</v>
      </c>
      <c r="F20" s="9">
        <v>3425.8800999999999</v>
      </c>
      <c r="G20" s="9">
        <v>386943.75319999998</v>
      </c>
      <c r="H20" s="9">
        <v>336537.62319999997</v>
      </c>
      <c r="I20" s="9">
        <v>167517.13099999999</v>
      </c>
      <c r="J20" s="9">
        <v>278.29000000000002</v>
      </c>
      <c r="K20" s="9">
        <v>6121.1473999999998</v>
      </c>
      <c r="L20" s="9">
        <v>36423.750999999997</v>
      </c>
      <c r="M20" s="9">
        <v>45047.147900000004</v>
      </c>
      <c r="N20" s="9">
        <v>354680.43310000002</v>
      </c>
      <c r="O20" s="9">
        <v>21202.593400000002</v>
      </c>
      <c r="P20" s="9">
        <v>18287.069</v>
      </c>
      <c r="Q20" s="9">
        <v>34813.197200000002</v>
      </c>
      <c r="R20" s="9">
        <v>149755.8345</v>
      </c>
      <c r="S20" s="9">
        <v>240516.2023</v>
      </c>
      <c r="T20" s="9">
        <v>80919.810400000002</v>
      </c>
      <c r="U20" s="9">
        <v>150.37299999999999</v>
      </c>
    </row>
    <row r="21" spans="1:21" x14ac:dyDescent="0.25">
      <c r="A21" s="8">
        <v>14</v>
      </c>
      <c r="B21" s="8" t="s">
        <v>42</v>
      </c>
      <c r="C21" s="9">
        <v>565184</v>
      </c>
      <c r="D21" s="9">
        <v>538593.16689999995</v>
      </c>
      <c r="E21" s="9">
        <v>128278.91</v>
      </c>
      <c r="F21" s="9">
        <v>19695.066500000001</v>
      </c>
      <c r="G21" s="9">
        <v>390619.19040000002</v>
      </c>
      <c r="H21" s="9">
        <v>450420.2488</v>
      </c>
      <c r="I21" s="9">
        <v>71533.643100000001</v>
      </c>
      <c r="J21" s="9">
        <v>14770.8755</v>
      </c>
      <c r="K21" s="9">
        <v>1595.0735</v>
      </c>
      <c r="L21" s="9">
        <v>30173.2379</v>
      </c>
      <c r="M21" s="9">
        <v>11818.7832</v>
      </c>
      <c r="N21" s="9">
        <v>424140.95480000001</v>
      </c>
      <c r="O21" s="9">
        <v>23961.898700000002</v>
      </c>
      <c r="P21" s="9">
        <v>32035.0782</v>
      </c>
      <c r="Q21" s="9">
        <v>16189.8881</v>
      </c>
      <c r="R21" s="9">
        <v>66799.719299999997</v>
      </c>
      <c r="S21" s="9">
        <v>271028.47460000002</v>
      </c>
      <c r="T21" s="9">
        <v>137843.9276</v>
      </c>
      <c r="U21" s="9">
        <v>7352.7325000000001</v>
      </c>
    </row>
    <row r="22" spans="1:21" x14ac:dyDescent="0.25">
      <c r="A22" s="8">
        <v>15</v>
      </c>
      <c r="B22" s="8" t="s">
        <v>43</v>
      </c>
      <c r="C22" s="9">
        <v>58690</v>
      </c>
      <c r="D22" s="9">
        <v>58689.9</v>
      </c>
      <c r="E22" s="9">
        <v>2.5</v>
      </c>
      <c r="F22" s="9">
        <v>62.6</v>
      </c>
      <c r="G22" s="9">
        <v>58624.800000000003</v>
      </c>
      <c r="H22" s="9">
        <v>6661.049</v>
      </c>
      <c r="I22" s="9">
        <v>5258.5510000000004</v>
      </c>
      <c r="J22" s="9">
        <v>46229.337</v>
      </c>
      <c r="K22" s="9">
        <v>540.96299999999997</v>
      </c>
      <c r="L22" s="9">
        <v>12177</v>
      </c>
      <c r="M22" s="9">
        <v>60</v>
      </c>
      <c r="N22" s="9">
        <v>32186</v>
      </c>
      <c r="O22" s="9">
        <v>3050</v>
      </c>
      <c r="P22" s="9">
        <v>11183.9</v>
      </c>
      <c r="Q22" s="9">
        <v>33</v>
      </c>
      <c r="R22" s="9">
        <v>14468.350899999999</v>
      </c>
      <c r="S22" s="9">
        <v>30142.649099999999</v>
      </c>
      <c r="T22" s="9">
        <v>0</v>
      </c>
      <c r="U22" s="9">
        <v>0</v>
      </c>
    </row>
    <row r="23" spans="1:21" x14ac:dyDescent="0.25">
      <c r="A23" s="8">
        <v>16</v>
      </c>
      <c r="B23" s="8" t="s">
        <v>44</v>
      </c>
      <c r="C23" s="9">
        <v>62730</v>
      </c>
      <c r="D23" s="9">
        <v>62719.192000000003</v>
      </c>
      <c r="E23" s="9">
        <v>9511.32</v>
      </c>
      <c r="F23" s="9">
        <v>3289.68</v>
      </c>
      <c r="G23" s="9">
        <v>49918.192000000003</v>
      </c>
      <c r="H23" s="9">
        <v>29375.933000000001</v>
      </c>
      <c r="I23" s="9">
        <v>1.5</v>
      </c>
      <c r="J23" s="9">
        <v>23816.720000000001</v>
      </c>
      <c r="K23" s="9">
        <v>8112.0690000000004</v>
      </c>
      <c r="L23" s="9">
        <v>5823.69</v>
      </c>
      <c r="M23" s="9">
        <v>160.55000000000001</v>
      </c>
      <c r="N23" s="9">
        <v>47010.902999999998</v>
      </c>
      <c r="O23" s="9">
        <v>24.5</v>
      </c>
      <c r="P23" s="9">
        <v>2646.3690000000001</v>
      </c>
      <c r="Q23" s="9">
        <v>5640.21</v>
      </c>
      <c r="R23" s="9">
        <v>11495.117</v>
      </c>
      <c r="S23" s="9">
        <v>27722.166000000001</v>
      </c>
      <c r="T23" s="9">
        <v>9556.36</v>
      </c>
      <c r="U23" s="9">
        <v>9861.7099999999991</v>
      </c>
    </row>
    <row r="24" spans="1:21" x14ac:dyDescent="0.25">
      <c r="A24" s="8">
        <v>17</v>
      </c>
      <c r="B24" s="8" t="s">
        <v>45</v>
      </c>
      <c r="C24" s="9">
        <v>49600</v>
      </c>
      <c r="D24" s="9">
        <v>49411.9</v>
      </c>
      <c r="E24" s="9">
        <v>4950.5</v>
      </c>
      <c r="F24" s="9">
        <v>10796.26</v>
      </c>
      <c r="G24" s="9">
        <v>33665.14</v>
      </c>
      <c r="H24" s="9">
        <v>29368.54</v>
      </c>
      <c r="I24" s="9">
        <v>510</v>
      </c>
      <c r="J24" s="9">
        <v>14913.62</v>
      </c>
      <c r="K24" s="9">
        <v>4610.34</v>
      </c>
      <c r="L24" s="9">
        <v>10567.38</v>
      </c>
      <c r="M24" s="9">
        <v>2988.75</v>
      </c>
      <c r="N24" s="9">
        <v>27007.07</v>
      </c>
      <c r="O24" s="9">
        <v>1828.5</v>
      </c>
      <c r="P24" s="9">
        <v>4623.8</v>
      </c>
      <c r="Q24" s="9">
        <v>2387</v>
      </c>
      <c r="R24" s="9">
        <v>20076.61</v>
      </c>
      <c r="S24" s="9">
        <v>22613.09</v>
      </c>
      <c r="T24" s="9">
        <v>265.5</v>
      </c>
      <c r="U24" s="9">
        <v>329</v>
      </c>
    </row>
    <row r="25" spans="1:21" x14ac:dyDescent="0.25">
      <c r="A25" s="8">
        <v>18</v>
      </c>
      <c r="B25" s="8" t="s">
        <v>46</v>
      </c>
      <c r="C25" s="9">
        <v>50021.43</v>
      </c>
      <c r="D25" s="9">
        <v>50021.36</v>
      </c>
      <c r="E25" s="9">
        <v>6170.9560000000001</v>
      </c>
      <c r="F25" s="9">
        <v>4.7</v>
      </c>
      <c r="G25" s="9">
        <v>43845.703999999998</v>
      </c>
      <c r="H25" s="9">
        <v>10139.040000000001</v>
      </c>
      <c r="I25" s="9">
        <v>150.72</v>
      </c>
      <c r="J25" s="9">
        <v>39364.620000000003</v>
      </c>
      <c r="K25" s="9">
        <v>85.1</v>
      </c>
      <c r="L25" s="9">
        <v>10791.47</v>
      </c>
      <c r="M25" s="9">
        <v>0</v>
      </c>
      <c r="N25" s="9">
        <v>16608.52</v>
      </c>
      <c r="O25" s="9">
        <v>6078.91</v>
      </c>
      <c r="P25" s="9">
        <v>15168.86</v>
      </c>
      <c r="Q25" s="9">
        <v>1091.72</v>
      </c>
      <c r="R25" s="9">
        <v>13485.825999999999</v>
      </c>
      <c r="S25" s="9">
        <v>14971.664000000001</v>
      </c>
      <c r="T25" s="9">
        <v>0</v>
      </c>
      <c r="U25" s="9">
        <v>77.599999999999994</v>
      </c>
    </row>
    <row r="26" spans="1:21" x14ac:dyDescent="0.25">
      <c r="A26" s="8">
        <v>19</v>
      </c>
      <c r="B26" s="8" t="s">
        <v>47</v>
      </c>
      <c r="C26" s="9">
        <v>323719.83</v>
      </c>
      <c r="D26" s="9">
        <v>323431.2426</v>
      </c>
      <c r="E26" s="9">
        <v>51858.844299999997</v>
      </c>
      <c r="F26" s="9">
        <v>12569.593800000001</v>
      </c>
      <c r="G26" s="9">
        <v>259002.8045</v>
      </c>
      <c r="H26" s="9">
        <v>177487.0968</v>
      </c>
      <c r="I26" s="9">
        <v>131589.85920000001</v>
      </c>
      <c r="J26" s="9">
        <v>11668.056</v>
      </c>
      <c r="K26" s="9">
        <v>2674.3186000000001</v>
      </c>
      <c r="L26" s="9">
        <v>57448.162300000004</v>
      </c>
      <c r="M26" s="9">
        <v>35197.821199999998</v>
      </c>
      <c r="N26" s="9">
        <v>153260.01430000001</v>
      </c>
      <c r="O26" s="9">
        <v>11517.464099999999</v>
      </c>
      <c r="P26" s="9">
        <v>26141.934000000001</v>
      </c>
      <c r="Q26" s="9">
        <v>39853.934699999998</v>
      </c>
      <c r="R26" s="9">
        <v>153241.60070000001</v>
      </c>
      <c r="S26" s="9">
        <v>126879.11440000001</v>
      </c>
      <c r="T26" s="9">
        <v>6015.8029999999999</v>
      </c>
      <c r="U26" s="9">
        <v>13.879</v>
      </c>
    </row>
    <row r="27" spans="1:21" x14ac:dyDescent="0.25">
      <c r="A27" s="8">
        <v>20</v>
      </c>
      <c r="B27" s="8" t="s">
        <v>48</v>
      </c>
      <c r="C27" s="9">
        <v>28867</v>
      </c>
      <c r="D27" s="9">
        <v>28867</v>
      </c>
      <c r="E27" s="9">
        <v>7941.1594999999998</v>
      </c>
      <c r="F27" s="9">
        <v>5385.9295000000002</v>
      </c>
      <c r="G27" s="9">
        <v>15539.911</v>
      </c>
      <c r="H27" s="9">
        <v>21129.086800000001</v>
      </c>
      <c r="I27" s="9">
        <v>6571.1022000000003</v>
      </c>
      <c r="J27" s="9">
        <v>337.34899999999999</v>
      </c>
      <c r="K27" s="9">
        <v>826.25199999999995</v>
      </c>
      <c r="L27" s="9">
        <v>1706.4186999999999</v>
      </c>
      <c r="M27" s="9">
        <v>2893.9731999999999</v>
      </c>
      <c r="N27" s="9">
        <v>11319.9211</v>
      </c>
      <c r="O27" s="9">
        <v>3747.4756000000002</v>
      </c>
      <c r="P27" s="9">
        <v>324.27379999999999</v>
      </c>
      <c r="Q27" s="9">
        <v>8871.7276000000002</v>
      </c>
      <c r="R27" s="9">
        <v>7264.2758000000003</v>
      </c>
      <c r="S27" s="9">
        <v>4368.7467999999999</v>
      </c>
      <c r="T27" s="9">
        <v>13179.8087</v>
      </c>
      <c r="U27" s="9">
        <v>27.4315</v>
      </c>
    </row>
    <row r="28" spans="1:21" x14ac:dyDescent="0.25">
      <c r="A28" s="8">
        <v>21</v>
      </c>
      <c r="B28" s="8" t="s">
        <v>49</v>
      </c>
      <c r="C28" s="9">
        <v>823997</v>
      </c>
      <c r="D28" s="9">
        <v>751375.96660000004</v>
      </c>
      <c r="E28" s="9">
        <v>210875.726</v>
      </c>
      <c r="F28" s="9">
        <v>101244.12880000001</v>
      </c>
      <c r="G28" s="9">
        <v>439256.11180000001</v>
      </c>
      <c r="H28" s="9">
        <v>564591.24140000006</v>
      </c>
      <c r="I28" s="9">
        <v>171970.86429999999</v>
      </c>
      <c r="J28" s="9">
        <v>8198.6087000000007</v>
      </c>
      <c r="K28" s="9">
        <v>6401.9215999999997</v>
      </c>
      <c r="L28" s="9">
        <v>47213.307200000003</v>
      </c>
      <c r="M28" s="9">
        <v>70427.697199999995</v>
      </c>
      <c r="N28" s="9">
        <v>406690.04009999998</v>
      </c>
      <c r="O28" s="9">
        <v>983.16189999999995</v>
      </c>
      <c r="P28" s="9">
        <v>2934.1343999999999</v>
      </c>
      <c r="Q28" s="9">
        <v>222914.29519999999</v>
      </c>
      <c r="R28" s="9">
        <v>252316.13930000001</v>
      </c>
      <c r="S28" s="9">
        <v>266863.77039999998</v>
      </c>
      <c r="T28" s="9">
        <v>226243.45540000001</v>
      </c>
      <c r="U28" s="9">
        <v>2015.1107</v>
      </c>
    </row>
    <row r="29" spans="1:21" x14ac:dyDescent="0.25">
      <c r="A29" s="8">
        <v>22</v>
      </c>
      <c r="B29" s="8" t="s">
        <v>50</v>
      </c>
      <c r="C29" s="9">
        <v>30352</v>
      </c>
      <c r="D29" s="9">
        <v>25551.207299999998</v>
      </c>
      <c r="E29" s="9">
        <v>0.73550000000000004</v>
      </c>
      <c r="F29" s="9">
        <v>0.67349999999999999</v>
      </c>
      <c r="G29" s="9">
        <v>25549.798299999999</v>
      </c>
      <c r="H29" s="9">
        <v>19910.1119</v>
      </c>
      <c r="I29" s="9">
        <v>5391.6688999999997</v>
      </c>
      <c r="J29" s="9">
        <v>238.416</v>
      </c>
      <c r="K29" s="9">
        <v>10.214499999999999</v>
      </c>
      <c r="L29" s="9">
        <v>2700.6115</v>
      </c>
      <c r="M29" s="9">
        <v>160.28399999999999</v>
      </c>
      <c r="N29" s="9">
        <v>19410.3724</v>
      </c>
      <c r="O29" s="9">
        <v>4.8579999999999997</v>
      </c>
      <c r="P29" s="9">
        <v>41.988</v>
      </c>
      <c r="Q29" s="9">
        <v>3232.2973999999999</v>
      </c>
      <c r="R29" s="9">
        <v>8035.9970000000003</v>
      </c>
      <c r="S29" s="9">
        <v>17467.568299999999</v>
      </c>
      <c r="T29" s="9">
        <v>0</v>
      </c>
      <c r="U29" s="9">
        <v>0</v>
      </c>
    </row>
    <row r="30" spans="1:21" x14ac:dyDescent="0.25">
      <c r="A30" s="8">
        <v>23</v>
      </c>
      <c r="B30" s="8" t="s">
        <v>51</v>
      </c>
      <c r="C30" s="9">
        <v>166207</v>
      </c>
      <c r="D30" s="9">
        <v>166194.14050000001</v>
      </c>
      <c r="E30" s="9">
        <v>77972.180800000002</v>
      </c>
      <c r="F30" s="9">
        <v>5775.5514999999996</v>
      </c>
      <c r="G30" s="9">
        <v>82446.408200000005</v>
      </c>
      <c r="H30" s="9">
        <v>138085.00839999999</v>
      </c>
      <c r="I30" s="9">
        <v>23635.952099999999</v>
      </c>
      <c r="J30" s="9">
        <v>403.95</v>
      </c>
      <c r="K30" s="9">
        <v>4065.81</v>
      </c>
      <c r="L30" s="9">
        <v>13968.2397</v>
      </c>
      <c r="M30" s="9">
        <v>1376.115</v>
      </c>
      <c r="N30" s="9">
        <v>133701.1237</v>
      </c>
      <c r="O30" s="9">
        <v>239.37479999999999</v>
      </c>
      <c r="P30" s="9">
        <v>1185.4549999999999</v>
      </c>
      <c r="Q30" s="9">
        <v>15720.4123</v>
      </c>
      <c r="R30" s="9">
        <v>38592.268499999998</v>
      </c>
      <c r="S30" s="9">
        <v>125393.1522</v>
      </c>
      <c r="T30" s="9">
        <v>694.31</v>
      </c>
      <c r="U30" s="9">
        <v>86.16</v>
      </c>
    </row>
    <row r="31" spans="1:21" x14ac:dyDescent="0.25">
      <c r="A31" s="8">
        <v>24</v>
      </c>
      <c r="B31" s="8" t="s">
        <v>52</v>
      </c>
      <c r="C31" s="9">
        <v>146686</v>
      </c>
      <c r="D31" s="9">
        <v>146686</v>
      </c>
      <c r="E31" s="9">
        <v>46996.01</v>
      </c>
      <c r="F31" s="9">
        <v>8894.08</v>
      </c>
      <c r="G31" s="9">
        <v>90795.91</v>
      </c>
      <c r="H31" s="9">
        <v>122637.16</v>
      </c>
      <c r="I31" s="9">
        <v>17933.41</v>
      </c>
      <c r="J31" s="9">
        <v>727.83</v>
      </c>
      <c r="K31" s="9">
        <v>5378.6</v>
      </c>
      <c r="L31" s="9">
        <v>24706.19</v>
      </c>
      <c r="M31" s="9">
        <v>391.88</v>
      </c>
      <c r="N31" s="9">
        <v>111821.63</v>
      </c>
      <c r="O31" s="9">
        <v>3725.51</v>
      </c>
      <c r="P31" s="9">
        <v>2424.23</v>
      </c>
      <c r="Q31" s="9">
        <v>3607.56</v>
      </c>
      <c r="R31" s="9">
        <v>30815.06</v>
      </c>
      <c r="S31" s="9">
        <v>109515.1</v>
      </c>
      <c r="T31" s="9">
        <v>191.99</v>
      </c>
      <c r="U31" s="9">
        <v>6.21</v>
      </c>
    </row>
    <row r="32" spans="1:21" x14ac:dyDescent="0.25">
      <c r="A32" s="8">
        <v>25</v>
      </c>
      <c r="B32" s="8" t="s">
        <v>53</v>
      </c>
      <c r="C32" s="9">
        <v>32000</v>
      </c>
      <c r="D32" s="9">
        <v>32000</v>
      </c>
      <c r="E32" s="9">
        <v>17803.901099999999</v>
      </c>
      <c r="F32" s="9">
        <v>2029.8291999999999</v>
      </c>
      <c r="G32" s="9">
        <v>12166.269700000001</v>
      </c>
      <c r="H32" s="9">
        <v>22198.904600000002</v>
      </c>
      <c r="I32" s="9">
        <v>1868.3716999999999</v>
      </c>
      <c r="J32" s="9">
        <v>6241.9049999999997</v>
      </c>
      <c r="K32" s="9">
        <v>1656.8687</v>
      </c>
      <c r="L32" s="9">
        <v>3249.4004</v>
      </c>
      <c r="M32" s="9">
        <v>1842.3047999999999</v>
      </c>
      <c r="N32" s="9">
        <v>19222.997200000002</v>
      </c>
      <c r="O32" s="9">
        <v>3107.28</v>
      </c>
      <c r="P32" s="9">
        <v>2890.1923999999999</v>
      </c>
      <c r="Q32" s="9">
        <v>1653.8751999999999</v>
      </c>
      <c r="R32" s="9">
        <v>5719.1040000000003</v>
      </c>
      <c r="S32" s="9">
        <v>19691.5936</v>
      </c>
      <c r="T32" s="9">
        <v>777.68899999999996</v>
      </c>
      <c r="U32" s="9">
        <v>18.11</v>
      </c>
    </row>
    <row r="33" spans="1:21" x14ac:dyDescent="0.25">
      <c r="A33" s="8">
        <v>26</v>
      </c>
      <c r="B33" s="8" t="s">
        <v>54</v>
      </c>
      <c r="C33" s="9">
        <v>69493</v>
      </c>
      <c r="D33" s="9">
        <v>69493.399999999994</v>
      </c>
      <c r="E33" s="9">
        <v>20798.132000000001</v>
      </c>
      <c r="F33" s="9">
        <v>6279.5195000000003</v>
      </c>
      <c r="G33" s="9">
        <v>42415.748500000002</v>
      </c>
      <c r="H33" s="9">
        <v>36485.430699999997</v>
      </c>
      <c r="I33" s="9">
        <v>15319.159799999999</v>
      </c>
      <c r="J33" s="9">
        <v>10606.149100000001</v>
      </c>
      <c r="K33" s="9">
        <v>6508.8603999999996</v>
      </c>
      <c r="L33" s="9">
        <v>20324.4205</v>
      </c>
      <c r="M33" s="9">
        <v>7407.6445999999996</v>
      </c>
      <c r="N33" s="9">
        <v>24481.962599999999</v>
      </c>
      <c r="O33" s="9">
        <v>11186.356100000001</v>
      </c>
      <c r="P33" s="9">
        <v>2062.3164999999999</v>
      </c>
      <c r="Q33" s="9">
        <v>3456.8996999999999</v>
      </c>
      <c r="R33" s="9">
        <v>21445.5628</v>
      </c>
      <c r="S33" s="9">
        <v>27677.8073</v>
      </c>
      <c r="T33" s="9">
        <v>6823.9173000000001</v>
      </c>
      <c r="U33" s="9">
        <v>55.74</v>
      </c>
    </row>
    <row r="34" spans="1:21" x14ac:dyDescent="0.25">
      <c r="A34" s="8">
        <v>27</v>
      </c>
      <c r="B34" s="8" t="s">
        <v>55</v>
      </c>
      <c r="C34" s="9">
        <v>21738</v>
      </c>
      <c r="D34" s="9">
        <v>21735.205399999999</v>
      </c>
      <c r="E34" s="9">
        <v>1091.3040000000001</v>
      </c>
      <c r="F34" s="9">
        <v>8395.3783000000003</v>
      </c>
      <c r="G34" s="9">
        <v>12248.5231</v>
      </c>
      <c r="H34" s="9">
        <v>1198.9785999999999</v>
      </c>
      <c r="I34" s="9">
        <v>1215.2628999999999</v>
      </c>
      <c r="J34" s="9">
        <v>18221.963899999999</v>
      </c>
      <c r="K34" s="9">
        <v>1099</v>
      </c>
      <c r="L34" s="9">
        <v>12577.805399999999</v>
      </c>
      <c r="M34" s="9">
        <v>269.291</v>
      </c>
      <c r="N34" s="9">
        <v>0</v>
      </c>
      <c r="O34" s="9">
        <v>0</v>
      </c>
      <c r="P34" s="9">
        <v>103.76</v>
      </c>
      <c r="Q34" s="9">
        <v>8784.3490000000002</v>
      </c>
      <c r="R34" s="9">
        <v>16098.159799999999</v>
      </c>
      <c r="S34" s="9">
        <v>4966.7691000000004</v>
      </c>
      <c r="T34" s="9">
        <v>566.51649999999995</v>
      </c>
      <c r="U34" s="9">
        <v>0</v>
      </c>
    </row>
    <row r="35" spans="1:21" x14ac:dyDescent="0.25">
      <c r="A35" s="8">
        <v>28</v>
      </c>
      <c r="B35" s="8" t="s">
        <v>56</v>
      </c>
      <c r="C35" s="9">
        <v>84475</v>
      </c>
      <c r="D35" s="9">
        <v>70231.157999999996</v>
      </c>
      <c r="E35" s="9">
        <v>1027.307</v>
      </c>
      <c r="F35" s="9">
        <v>777.14099999999996</v>
      </c>
      <c r="G35" s="9">
        <v>68426.710000000006</v>
      </c>
      <c r="H35" s="9">
        <v>30171.219099999998</v>
      </c>
      <c r="I35" s="9">
        <v>9124.4279999999999</v>
      </c>
      <c r="J35" s="9">
        <v>27301.796200000001</v>
      </c>
      <c r="K35" s="9">
        <v>3623.3017</v>
      </c>
      <c r="L35" s="9">
        <v>16069.6541</v>
      </c>
      <c r="M35" s="9">
        <v>15908.5641</v>
      </c>
      <c r="N35" s="9">
        <v>22303.819299999999</v>
      </c>
      <c r="O35" s="9">
        <v>6292.3959999999997</v>
      </c>
      <c r="P35" s="9">
        <v>1637.1469999999999</v>
      </c>
      <c r="Q35" s="9">
        <v>8009.1644999999999</v>
      </c>
      <c r="R35" s="9">
        <v>40583.043700000002</v>
      </c>
      <c r="S35" s="9">
        <v>2670.6197000000002</v>
      </c>
      <c r="T35" s="9">
        <v>18994.368399999999</v>
      </c>
      <c r="U35" s="9">
        <v>43.170200000000001</v>
      </c>
    </row>
    <row r="36" spans="1:21" x14ac:dyDescent="0.25">
      <c r="A36" s="8">
        <v>29</v>
      </c>
      <c r="B36" s="8" t="s">
        <v>57</v>
      </c>
      <c r="C36" s="9">
        <v>263943</v>
      </c>
      <c r="D36" s="9">
        <v>239402.2156</v>
      </c>
      <c r="E36" s="9">
        <v>81778.0625</v>
      </c>
      <c r="F36" s="9">
        <v>43930.621099999997</v>
      </c>
      <c r="G36" s="9">
        <v>113693.53200000001</v>
      </c>
      <c r="H36" s="9">
        <v>228337.86809999999</v>
      </c>
      <c r="I36" s="9">
        <v>5845.5594000000001</v>
      </c>
      <c r="J36" s="9">
        <v>2022.8163999999999</v>
      </c>
      <c r="K36" s="9">
        <v>3156.8447000000001</v>
      </c>
      <c r="L36" s="9">
        <v>37836.496700000003</v>
      </c>
      <c r="M36" s="9">
        <v>11319.4458</v>
      </c>
      <c r="N36" s="9">
        <v>141507.40700000001</v>
      </c>
      <c r="O36" s="9">
        <v>282.72730000000001</v>
      </c>
      <c r="P36" s="9">
        <v>754.70240000000001</v>
      </c>
      <c r="Q36" s="9">
        <v>47662.309399999998</v>
      </c>
      <c r="R36" s="9">
        <v>19814.5815</v>
      </c>
      <c r="S36" s="9">
        <v>171646.31280000001</v>
      </c>
      <c r="T36" s="9">
        <v>46604.105600000003</v>
      </c>
      <c r="U36" s="9">
        <v>272.56700000000001</v>
      </c>
    </row>
    <row r="37" spans="1:21" x14ac:dyDescent="0.25">
      <c r="A37" s="8">
        <v>30</v>
      </c>
      <c r="B37" s="8" t="s">
        <v>58</v>
      </c>
      <c r="C37" s="9">
        <v>129200</v>
      </c>
      <c r="D37" s="9">
        <v>129200</v>
      </c>
      <c r="E37" s="9">
        <v>7706.1907000000001</v>
      </c>
      <c r="F37" s="9">
        <v>352.75850000000003</v>
      </c>
      <c r="G37" s="9">
        <v>121141.0508</v>
      </c>
      <c r="H37" s="9">
        <v>115545.4529</v>
      </c>
      <c r="I37" s="9">
        <v>10781.0911</v>
      </c>
      <c r="J37" s="9">
        <v>571.56920000000002</v>
      </c>
      <c r="K37" s="9">
        <v>2297.1797999999999</v>
      </c>
      <c r="L37" s="9">
        <v>17119.274799999999</v>
      </c>
      <c r="M37" s="9">
        <v>673.92870000000005</v>
      </c>
      <c r="N37" s="9">
        <v>74592.173200000005</v>
      </c>
      <c r="O37" s="9">
        <v>9286.5840000000007</v>
      </c>
      <c r="P37" s="9">
        <v>1566.2977000000001</v>
      </c>
      <c r="Q37" s="9">
        <v>25957.034599999999</v>
      </c>
      <c r="R37" s="9">
        <v>45387.953500000003</v>
      </c>
      <c r="S37" s="9">
        <v>72802.717999999993</v>
      </c>
      <c r="T37" s="9">
        <v>175.51</v>
      </c>
      <c r="U37" s="9">
        <v>0</v>
      </c>
    </row>
    <row r="38" spans="1:21" x14ac:dyDescent="0.25">
      <c r="A38" s="11" t="s">
        <v>59</v>
      </c>
      <c r="B38" s="12"/>
      <c r="C38" s="10">
        <v>5356397.3800000008</v>
      </c>
      <c r="D38" s="10">
        <v>5116739.1331000002</v>
      </c>
      <c r="E38" s="10">
        <v>1283617.5008999999</v>
      </c>
      <c r="F38" s="10">
        <v>367361.76949999994</v>
      </c>
      <c r="G38" s="10">
        <v>3465756.2827000003</v>
      </c>
      <c r="H38" s="10">
        <v>3507014.9559000004</v>
      </c>
      <c r="I38" s="10">
        <v>989606.43869999994</v>
      </c>
      <c r="J38" s="10">
        <v>439873.89549999993</v>
      </c>
      <c r="K38" s="10">
        <v>175349.44210000001</v>
      </c>
      <c r="L38" s="10">
        <v>626678.88139999995</v>
      </c>
      <c r="M38" s="10">
        <v>279203.23139999999</v>
      </c>
      <c r="N38" s="10">
        <v>3284526.4897000003</v>
      </c>
      <c r="O38" s="10">
        <v>188104.65700000006</v>
      </c>
      <c r="P38" s="10">
        <v>199451.37820000006</v>
      </c>
      <c r="Q38" s="10">
        <v>533880.09450000012</v>
      </c>
      <c r="R38" s="10">
        <v>1285661.8496999999</v>
      </c>
      <c r="S38" s="10">
        <v>2642831.1470000003</v>
      </c>
      <c r="T38" s="10">
        <v>761852.72650000011</v>
      </c>
      <c r="U38" s="10">
        <v>39866.442499999997</v>
      </c>
    </row>
    <row r="41" spans="1:21" x14ac:dyDescent="0.25">
      <c r="A41" s="13" t="s">
        <v>60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x14ac:dyDescent="0.25">
      <c r="A42" s="13" t="s">
        <v>61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x14ac:dyDescent="0.25">
      <c r="A43" s="14" t="s">
        <v>2</v>
      </c>
    </row>
  </sheetData>
  <mergeCells count="31">
    <mergeCell ref="T6:T7"/>
    <mergeCell ref="U6:U7"/>
    <mergeCell ref="A38:B38"/>
    <mergeCell ref="A41:U41"/>
    <mergeCell ref="A42:U42"/>
    <mergeCell ref="M6:M7"/>
    <mergeCell ref="N6:N7"/>
    <mergeCell ref="O6:P6"/>
    <mergeCell ref="Q6:Q7"/>
    <mergeCell ref="R6:R7"/>
    <mergeCell ref="S6:S7"/>
    <mergeCell ref="L5:Q5"/>
    <mergeCell ref="R5:U5"/>
    <mergeCell ref="E6:E7"/>
    <mergeCell ref="F6:F7"/>
    <mergeCell ref="G6:G7"/>
    <mergeCell ref="H6:H7"/>
    <mergeCell ref="I6:I7"/>
    <mergeCell ref="J6:J7"/>
    <mergeCell ref="K6:K7"/>
    <mergeCell ref="L6:L7"/>
    <mergeCell ref="A1:U1"/>
    <mergeCell ref="A2:U2"/>
    <mergeCell ref="A3:U3"/>
    <mergeCell ref="A4:U4"/>
    <mergeCell ref="A5:A7"/>
    <mergeCell ref="B5:B7"/>
    <mergeCell ref="C5:C7"/>
    <mergeCell ref="D5:D7"/>
    <mergeCell ref="E5:G5"/>
    <mergeCell ref="H5:K5"/>
  </mergeCells>
  <hyperlinks>
    <hyperlink ref="A43" r:id="rId1" display="https://wdcpmksy.dolr.gov.in/blsareaoutcomedtlrpt" xr:uid="{0AA4246A-0029-4C01-8553-347633457F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 coverage</vt:lpstr>
      <vt:lpstr>Irrigation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Arela</dc:creator>
  <cp:lastModifiedBy>Nikhil Arela</cp:lastModifiedBy>
  <dcterms:created xsi:type="dcterms:W3CDTF">2026-06-23T14:10:32Z</dcterms:created>
  <dcterms:modified xsi:type="dcterms:W3CDTF">2026-06-23T16:03:24Z</dcterms:modified>
</cp:coreProperties>
</file>